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lution_tolerance" sheetId="1" r:id="rId4"/>
    <sheet state="visible" name="dispersal_strategy" sheetId="2" r:id="rId5"/>
    <sheet state="visible" name="dispersal_strategy_family" sheetId="3" r:id="rId6"/>
    <sheet state="visible" name="Pivot Table 1" sheetId="4" r:id="rId7"/>
    <sheet state="visible" name="av_family" sheetId="5" r:id="rId8"/>
    <sheet state="visible" name="av_family_updated" sheetId="6" r:id="rId9"/>
    <sheet state="visible" name="final" sheetId="7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<sst xmlns="http://schemas.openxmlformats.org/spreadsheetml/2006/main" count="2735" uniqueCount="581">
  <si>
    <t>Group</t>
  </si>
  <si>
    <t>Taxa</t>
  </si>
  <si>
    <t>Level</t>
  </si>
  <si>
    <t>IBMWP_score</t>
  </si>
  <si>
    <t>dispersal</t>
  </si>
  <si>
    <t>Aracnidos</t>
  </si>
  <si>
    <t>Acariformes</t>
  </si>
  <si>
    <t>superorder</t>
  </si>
  <si>
    <t>Coleoptera</t>
  </si>
  <si>
    <t>Chrysomelidae</t>
  </si>
  <si>
    <t>family</t>
  </si>
  <si>
    <t>Curculionidae</t>
  </si>
  <si>
    <t>Dryopidae</t>
  </si>
  <si>
    <t>Dytiscidae</t>
  </si>
  <si>
    <t>Elmidae</t>
  </si>
  <si>
    <t>Gyrinidae</t>
  </si>
  <si>
    <t>Haliplidae</t>
  </si>
  <si>
    <t>Helophoridae</t>
  </si>
  <si>
    <t>Hydraenidae</t>
  </si>
  <si>
    <t>Hydrochidae</t>
  </si>
  <si>
    <t>Hydrophilidae</t>
  </si>
  <si>
    <t>Hygrobiidae</t>
  </si>
  <si>
    <t>Noteridae</t>
  </si>
  <si>
    <t>Psephenidae</t>
  </si>
  <si>
    <t>Scirtidae(=Helodidae)</t>
  </si>
  <si>
    <t>Crustaceans</t>
  </si>
  <si>
    <t>Asellidae</t>
  </si>
  <si>
    <t>Astacidae</t>
  </si>
  <si>
    <t>Atyidae</t>
  </si>
  <si>
    <t>Corophiidae</t>
  </si>
  <si>
    <t>Gammaridae</t>
  </si>
  <si>
    <t>Ostracoda</t>
  </si>
  <si>
    <t>Palaemonidae</t>
  </si>
  <si>
    <t>Diptera</t>
  </si>
  <si>
    <t>Anthomyiidae</t>
  </si>
  <si>
    <t>Athericidae</t>
  </si>
  <si>
    <t>Blephariceridae</t>
  </si>
  <si>
    <t>Ceratopogonidae</t>
  </si>
  <si>
    <t>Chironomidae</t>
  </si>
  <si>
    <t>Culicidae</t>
  </si>
  <si>
    <t>Dixidae</t>
  </si>
  <si>
    <t>Dolichopodidae</t>
  </si>
  <si>
    <t>Empididae</t>
  </si>
  <si>
    <t>Ephydridae</t>
  </si>
  <si>
    <t>Limoniidae</t>
  </si>
  <si>
    <t>Psychodidae</t>
  </si>
  <si>
    <t>Ptychopteridae</t>
  </si>
  <si>
    <t>Rhagionidae</t>
  </si>
  <si>
    <t>Scatophagidae</t>
  </si>
  <si>
    <t>Sciomyzidae</t>
  </si>
  <si>
    <t>Simuliidae</t>
  </si>
  <si>
    <t>Stratiomyidae</t>
  </si>
  <si>
    <t>Syrphidae</t>
  </si>
  <si>
    <t>Tabanidae</t>
  </si>
  <si>
    <t>Thaumaleidae</t>
  </si>
  <si>
    <t>Tipulidae</t>
  </si>
  <si>
    <t>Ephemeroptera</t>
  </si>
  <si>
    <t>Baetidae</t>
  </si>
  <si>
    <t>Caenidae</t>
  </si>
  <si>
    <t>Ephemerellidae</t>
  </si>
  <si>
    <t>Ephemeridae</t>
  </si>
  <si>
    <t>Heptageniidae</t>
  </si>
  <si>
    <t>Leptophlebiidae</t>
  </si>
  <si>
    <t>Oligoneuriidae</t>
  </si>
  <si>
    <t>Polymitarcidae</t>
  </si>
  <si>
    <t>Potamanthidae</t>
  </si>
  <si>
    <t>Prosopistomatidae</t>
  </si>
  <si>
    <t>Siphlonuridae</t>
  </si>
  <si>
    <t>Heteroptera</t>
  </si>
  <si>
    <t>Aphelocheiridae</t>
  </si>
  <si>
    <t>Corixidae</t>
  </si>
  <si>
    <t>Gerridae</t>
  </si>
  <si>
    <t>Hydrometridae</t>
  </si>
  <si>
    <t>Mesoveliidae</t>
  </si>
  <si>
    <t>Naucoridae</t>
  </si>
  <si>
    <t>Nepidae</t>
  </si>
  <si>
    <t>Notonectidae</t>
  </si>
  <si>
    <t>Pleidae</t>
  </si>
  <si>
    <t>Veliidae</t>
  </si>
  <si>
    <t>Hirudinea</t>
  </si>
  <si>
    <t>Erpobdellidae</t>
  </si>
  <si>
    <t>Glossiphoniidae</t>
  </si>
  <si>
    <t>Hirudidae(=Hirudinidae)</t>
  </si>
  <si>
    <t>Piscicolidae</t>
  </si>
  <si>
    <t>Neuroptera</t>
  </si>
  <si>
    <t>Sialidae</t>
  </si>
  <si>
    <t>Lepidoptera</t>
  </si>
  <si>
    <t>Crambidae(=Pyralidae)</t>
  </si>
  <si>
    <t>Mollusca</t>
  </si>
  <si>
    <t>Ancylidae</t>
  </si>
  <si>
    <t>Bithyniidae</t>
  </si>
  <si>
    <t>Ferrissia</t>
  </si>
  <si>
    <t>genus</t>
  </si>
  <si>
    <t>Hydrobiidae</t>
  </si>
  <si>
    <t>Lymnaeidae</t>
  </si>
  <si>
    <t>Neritidae</t>
  </si>
  <si>
    <t>Physidae</t>
  </si>
  <si>
    <t>Planorbidae</t>
  </si>
  <si>
    <t>Sphaeriidae</t>
  </si>
  <si>
    <t>Thiaridae</t>
  </si>
  <si>
    <t>Unionidae</t>
  </si>
  <si>
    <t>Valvatidae</t>
  </si>
  <si>
    <t>Viviparidae</t>
  </si>
  <si>
    <t>Odonata</t>
  </si>
  <si>
    <t>Aeshnidae</t>
  </si>
  <si>
    <t>Calopterygidae</t>
  </si>
  <si>
    <t>Coenagrionidae</t>
  </si>
  <si>
    <t>Cordulegasteridae</t>
  </si>
  <si>
    <t>Corduliidae</t>
  </si>
  <si>
    <t>Gomphidae</t>
  </si>
  <si>
    <t>Lestidae</t>
  </si>
  <si>
    <t>Libellulidae</t>
  </si>
  <si>
    <t>Platycnemididae</t>
  </si>
  <si>
    <t>Oligocheta</t>
  </si>
  <si>
    <t>order</t>
  </si>
  <si>
    <t>Plecoptera</t>
  </si>
  <si>
    <t>Capniidae</t>
  </si>
  <si>
    <t>Chloroperlidae</t>
  </si>
  <si>
    <t>Leuctridae</t>
  </si>
  <si>
    <t>Nemouridae</t>
  </si>
  <si>
    <t>Perlidae</t>
  </si>
  <si>
    <t>Perlodidae</t>
  </si>
  <si>
    <t>Taeniopterygidae</t>
  </si>
  <si>
    <t>Tricoptera</t>
  </si>
  <si>
    <t>Beraeidae</t>
  </si>
  <si>
    <t>Brachycentridae</t>
  </si>
  <si>
    <t>Calamoceratidae</t>
  </si>
  <si>
    <t>Ecnomidae</t>
  </si>
  <si>
    <t>Glossosomatidae</t>
  </si>
  <si>
    <t>Goeridae</t>
  </si>
  <si>
    <t>Hydropsychidae</t>
  </si>
  <si>
    <t>Hydroptilidae</t>
  </si>
  <si>
    <t>Lepidostomatidae</t>
  </si>
  <si>
    <t>Leptoceridae</t>
  </si>
  <si>
    <t>Limnephilidae</t>
  </si>
  <si>
    <t>Molannidae</t>
  </si>
  <si>
    <t>Odontoceridae</t>
  </si>
  <si>
    <t>Philopotamidae</t>
  </si>
  <si>
    <t>Phryganeidae</t>
  </si>
  <si>
    <t>Polycentropodidae</t>
  </si>
  <si>
    <t>Psychomyiidae</t>
  </si>
  <si>
    <t>Rhyacophilidae</t>
  </si>
  <si>
    <t>Sericostomatidae</t>
  </si>
  <si>
    <t>Uenoidae</t>
  </si>
  <si>
    <t>Turbellaria</t>
  </si>
  <si>
    <t>Dendrocoelidae</t>
  </si>
  <si>
    <t>Dugesiidae</t>
  </si>
  <si>
    <t>Planariidae</t>
  </si>
  <si>
    <t>done</t>
  </si>
  <si>
    <t>no</t>
  </si>
  <si>
    <t>ok</t>
  </si>
  <si>
    <t>Aquatic passive</t>
  </si>
  <si>
    <t>Aquatic active</t>
  </si>
  <si>
    <t>Aerial passive</t>
  </si>
  <si>
    <t>Aerial active</t>
  </si>
  <si>
    <t>Family</t>
  </si>
  <si>
    <t>Genus</t>
  </si>
  <si>
    <t>dis1</t>
  </si>
  <si>
    <t>dis2</t>
  </si>
  <si>
    <t>dis3</t>
  </si>
  <si>
    <t>dis4</t>
  </si>
  <si>
    <t>Donacia</t>
  </si>
  <si>
    <t>Macroplea</t>
  </si>
  <si>
    <t>Plateumaris</t>
  </si>
  <si>
    <t>Dryops</t>
  </si>
  <si>
    <t>Pomatinus</t>
  </si>
  <si>
    <t>Acilius</t>
  </si>
  <si>
    <t>Agabus</t>
  </si>
  <si>
    <t>Bidessus</t>
  </si>
  <si>
    <t>Boreonectes</t>
  </si>
  <si>
    <t>Clemnius</t>
  </si>
  <si>
    <t>Colymbetes</t>
  </si>
  <si>
    <t>Cybister</t>
  </si>
  <si>
    <t>Deronectes</t>
  </si>
  <si>
    <t>Dytiscus</t>
  </si>
  <si>
    <t>Eretes</t>
  </si>
  <si>
    <t>Etruscodytes</t>
  </si>
  <si>
    <t>Graptodytes</t>
  </si>
  <si>
    <t>Graphoderus</t>
  </si>
  <si>
    <t>Hydaticus</t>
  </si>
  <si>
    <t>Hydroglyphus</t>
  </si>
  <si>
    <t>Hydrocolus</t>
  </si>
  <si>
    <t>Hydroporus</t>
  </si>
  <si>
    <t>Hydrovatus</t>
  </si>
  <si>
    <t>Hygrotus</t>
  </si>
  <si>
    <t>Hyphydrus</t>
  </si>
  <si>
    <t>Iberoporus</t>
  </si>
  <si>
    <t>Ilybius</t>
  </si>
  <si>
    <t>Laccophilus</t>
  </si>
  <si>
    <t>Laccornis</t>
  </si>
  <si>
    <t>Liopterus</t>
  </si>
  <si>
    <t>Meladema</t>
  </si>
  <si>
    <t>Melanodytes</t>
  </si>
  <si>
    <t>Metaporus</t>
  </si>
  <si>
    <t>Methles</t>
  </si>
  <si>
    <t>Nartus</t>
  </si>
  <si>
    <t>Nebrioporus</t>
  </si>
  <si>
    <t>Oreodytes</t>
  </si>
  <si>
    <t>Platambus</t>
  </si>
  <si>
    <t>Porhydrus</t>
  </si>
  <si>
    <t>Rhantus</t>
  </si>
  <si>
    <t>Rhithrodytes</t>
  </si>
  <si>
    <t>Scarodytes</t>
  </si>
  <si>
    <t>Siettitia</t>
  </si>
  <si>
    <t>Stictonectes</t>
  </si>
  <si>
    <t>Stictotarsus</t>
  </si>
  <si>
    <t>Trichonectes</t>
  </si>
  <si>
    <t>Yola</t>
  </si>
  <si>
    <t>Dupophilus</t>
  </si>
  <si>
    <t>Elmis</t>
  </si>
  <si>
    <t>Esolus</t>
  </si>
  <si>
    <t>Grouvellinus</t>
  </si>
  <si>
    <t>Limnius</t>
  </si>
  <si>
    <t>Macronychus</t>
  </si>
  <si>
    <t>Normandia</t>
  </si>
  <si>
    <t>Oulimnius</t>
  </si>
  <si>
    <t>Potamophilus</t>
  </si>
  <si>
    <t>Riolus</t>
  </si>
  <si>
    <t>Stenelmis</t>
  </si>
  <si>
    <t>Aulonogyrus</t>
  </si>
  <si>
    <t>Gyrinus</t>
  </si>
  <si>
    <t>Orectochilus</t>
  </si>
  <si>
    <t>Brychius</t>
  </si>
  <si>
    <t>Haliplus</t>
  </si>
  <si>
    <t>Peltodytes</t>
  </si>
  <si>
    <t>Helophorus</t>
  </si>
  <si>
    <t>Hydraena</t>
  </si>
  <si>
    <t>Limnebius</t>
  </si>
  <si>
    <t>Ochthebius</t>
  </si>
  <si>
    <t>Hydrochus</t>
  </si>
  <si>
    <t>Anacaena</t>
  </si>
  <si>
    <t>Berosus</t>
  </si>
  <si>
    <t>Crenitis</t>
  </si>
  <si>
    <t>Chaetarthria</t>
  </si>
  <si>
    <t>Coelostoma</t>
  </si>
  <si>
    <t>Cymbiodyta</t>
  </si>
  <si>
    <t>Enochrus</t>
  </si>
  <si>
    <t>Helochares</t>
  </si>
  <si>
    <t>Hemisphaera</t>
  </si>
  <si>
    <t>Hydrobius</t>
  </si>
  <si>
    <t>Hydrochara</t>
  </si>
  <si>
    <t>Hydrophilus</t>
  </si>
  <si>
    <t>Laccobius</t>
  </si>
  <si>
    <t>Limnoxenus</t>
  </si>
  <si>
    <t>Paracymus</t>
  </si>
  <si>
    <t>Sternolophus</t>
  </si>
  <si>
    <t>Hygrobia</t>
  </si>
  <si>
    <t>Canthydrus</t>
  </si>
  <si>
    <t>Noterus</t>
  </si>
  <si>
    <t>Eubria</t>
  </si>
  <si>
    <t>Cyphon</t>
  </si>
  <si>
    <t>Elodes</t>
  </si>
  <si>
    <t>Hydrocyphon</t>
  </si>
  <si>
    <t>Scirtes</t>
  </si>
  <si>
    <t>Asellus</t>
  </si>
  <si>
    <t>Proasellus</t>
  </si>
  <si>
    <t>Astacus</t>
  </si>
  <si>
    <t>Austropotamobius</t>
  </si>
  <si>
    <t>Corophium</t>
  </si>
  <si>
    <t>Atyaephyra</t>
  </si>
  <si>
    <t>Echinogammarus</t>
  </si>
  <si>
    <t>Gammarus</t>
  </si>
  <si>
    <t>Palaemon</t>
  </si>
  <si>
    <t>Palaemonetes</t>
  </si>
  <si>
    <t>Atherix</t>
  </si>
  <si>
    <t>Atrichops</t>
  </si>
  <si>
    <t>Ibisia</t>
  </si>
  <si>
    <t>Apistomyia</t>
  </si>
  <si>
    <t>Blepharicera</t>
  </si>
  <si>
    <t>Dioptopsis</t>
  </si>
  <si>
    <t>Liponeura</t>
  </si>
  <si>
    <t>Ceratopogoninae</t>
  </si>
  <si>
    <t>Dasyheleinae</t>
  </si>
  <si>
    <t>Forcipomyinae</t>
  </si>
  <si>
    <t>Anopheles</t>
  </si>
  <si>
    <t>Culicinae</t>
  </si>
  <si>
    <t>Chironominae -Chironomini</t>
  </si>
  <si>
    <t>Chironominae - Tanytarsini</t>
  </si>
  <si>
    <t>Orthocladiinae / Diamesinae/Prodiamesinae</t>
  </si>
  <si>
    <t>Podonominae</t>
  </si>
  <si>
    <t>Tanypodinae</t>
  </si>
  <si>
    <t>Dixa</t>
  </si>
  <si>
    <t>Dixella</t>
  </si>
  <si>
    <t>Clinocerinae</t>
  </si>
  <si>
    <t>Hemerodromiinae</t>
  </si>
  <si>
    <t>Eriopterini</t>
  </si>
  <si>
    <t>Hexatomini</t>
  </si>
  <si>
    <t>Limoniini</t>
  </si>
  <si>
    <t>Pediciini</t>
  </si>
  <si>
    <t>Chrysopilus</t>
  </si>
  <si>
    <t>Acanthocnema</t>
  </si>
  <si>
    <t>Prosimuliinae</t>
  </si>
  <si>
    <t>Simuliinae</t>
  </si>
  <si>
    <t>Acentrella</t>
  </si>
  <si>
    <t>Alainites</t>
  </si>
  <si>
    <t>Baetis</t>
  </si>
  <si>
    <t>Pseudocentroptiloides</t>
  </si>
  <si>
    <t>NA</t>
  </si>
  <si>
    <t>Centroptilum</t>
  </si>
  <si>
    <t>Cloeon</t>
  </si>
  <si>
    <t>Nigrobaetis</t>
  </si>
  <si>
    <t>1,75</t>
  </si>
  <si>
    <t>2,25</t>
  </si>
  <si>
    <t>Procloeon</t>
  </si>
  <si>
    <t>Pseudocentroptilum</t>
  </si>
  <si>
    <t>Brachycercus</t>
  </si>
  <si>
    <t>Caenis</t>
  </si>
  <si>
    <t>Ephemerella</t>
  </si>
  <si>
    <t>Torleya</t>
  </si>
  <si>
    <t>Ephemera</t>
  </si>
  <si>
    <t>Afronurus</t>
  </si>
  <si>
    <t>Ecdyonurus</t>
  </si>
  <si>
    <t>Electrogena</t>
  </si>
  <si>
    <t>Epeorus</t>
  </si>
  <si>
    <t>Heptagenia</t>
  </si>
  <si>
    <t>Rhithrogena</t>
  </si>
  <si>
    <t>Choroterpes</t>
  </si>
  <si>
    <t>Habroleptoides</t>
  </si>
  <si>
    <t>Habrophlebia</t>
  </si>
  <si>
    <t>Leptophlebia</t>
  </si>
  <si>
    <t>Paraleptophlebia</t>
  </si>
  <si>
    <t>Thraulus</t>
  </si>
  <si>
    <t>Oligoneuriella</t>
  </si>
  <si>
    <t>Oligoneuriopsis</t>
  </si>
  <si>
    <t>Potamanthus</t>
  </si>
  <si>
    <t>Prosopistoma</t>
  </si>
  <si>
    <t>Siphlonurus</t>
  </si>
  <si>
    <t>Aphelocheirus</t>
  </si>
  <si>
    <t>Arctocorisa</t>
  </si>
  <si>
    <t>Callicorixa</t>
  </si>
  <si>
    <t>Corixa</t>
  </si>
  <si>
    <t>Cymatia</t>
  </si>
  <si>
    <t>Glaenocorisa</t>
  </si>
  <si>
    <t>Heliocorisa</t>
  </si>
  <si>
    <t>Hesperocorixa</t>
  </si>
  <si>
    <t>Paracorixa</t>
  </si>
  <si>
    <t>Parasigara</t>
  </si>
  <si>
    <t>Sigara</t>
  </si>
  <si>
    <t>Trichocorixa</t>
  </si>
  <si>
    <t>Aquarius</t>
  </si>
  <si>
    <t>Gerris</t>
  </si>
  <si>
    <t>Limnoporus</t>
  </si>
  <si>
    <t>Hydrometra</t>
  </si>
  <si>
    <t>Mesovelia</t>
  </si>
  <si>
    <t>Ilyocoris</t>
  </si>
  <si>
    <t>Naucoris</t>
  </si>
  <si>
    <t>Nepa</t>
  </si>
  <si>
    <t>Ranatra</t>
  </si>
  <si>
    <t>Anisops</t>
  </si>
  <si>
    <t>Notonecta</t>
  </si>
  <si>
    <t>Nychia</t>
  </si>
  <si>
    <t>Plea</t>
  </si>
  <si>
    <t>Microvelia</t>
  </si>
  <si>
    <t>Rhagovelia</t>
  </si>
  <si>
    <t>Velia</t>
  </si>
  <si>
    <t>Dina</t>
  </si>
  <si>
    <t>Erpobdella</t>
  </si>
  <si>
    <t>Trocheta</t>
  </si>
  <si>
    <t>Batracobdella</t>
  </si>
  <si>
    <t>Glossiphonia</t>
  </si>
  <si>
    <t>Haementeria</t>
  </si>
  <si>
    <t>Helobdella</t>
  </si>
  <si>
    <t>Hemiclepsis</t>
  </si>
  <si>
    <t>Theromyzon</t>
  </si>
  <si>
    <t>Haemopsis</t>
  </si>
  <si>
    <t>Hirudo</t>
  </si>
  <si>
    <t>Limnatis</t>
  </si>
  <si>
    <t>Piscicola</t>
  </si>
  <si>
    <t>Sialis</t>
  </si>
  <si>
    <t>Cataclysta</t>
  </si>
  <si>
    <t>Elophila</t>
  </si>
  <si>
    <t>Nymphula</t>
  </si>
  <si>
    <t>Parapoynx</t>
  </si>
  <si>
    <t>Ancylus</t>
  </si>
  <si>
    <t>Bithynia</t>
  </si>
  <si>
    <t>?</t>
  </si>
  <si>
    <t>Belgrandiella</t>
  </si>
  <si>
    <t>Bythinella</t>
  </si>
  <si>
    <t>Bythiospeum</t>
  </si>
  <si>
    <t>Lithoglyphus</t>
  </si>
  <si>
    <t>Mercuria</t>
  </si>
  <si>
    <t>Potamopyrgus</t>
  </si>
  <si>
    <t>Pseudoamnicola</t>
  </si>
  <si>
    <t>Galba</t>
  </si>
  <si>
    <t>Lymnaea</t>
  </si>
  <si>
    <t>Radix</t>
  </si>
  <si>
    <t>Stagnicola</t>
  </si>
  <si>
    <t>Theodoxus</t>
  </si>
  <si>
    <t>Physa</t>
  </si>
  <si>
    <t>Physella</t>
  </si>
  <si>
    <t>Anisus</t>
  </si>
  <si>
    <t>Bathyomphalus</t>
  </si>
  <si>
    <t>Bulinus</t>
  </si>
  <si>
    <t>Gyraulus</t>
  </si>
  <si>
    <t>Planorbarius</t>
  </si>
  <si>
    <t>Planorbis</t>
  </si>
  <si>
    <t>Segmentina</t>
  </si>
  <si>
    <t>Pisidium</t>
  </si>
  <si>
    <t>Sphaerium</t>
  </si>
  <si>
    <t>Melanoides</t>
  </si>
  <si>
    <t>Anodonta</t>
  </si>
  <si>
    <t>Unio</t>
  </si>
  <si>
    <t>Valvata</t>
  </si>
  <si>
    <t>Viviparus</t>
  </si>
  <si>
    <t>Aeshna</t>
  </si>
  <si>
    <t>Anax</t>
  </si>
  <si>
    <t>Boyeria</t>
  </si>
  <si>
    <t>Brachytron</t>
  </si>
  <si>
    <t>Caliaeschna</t>
  </si>
  <si>
    <t>Calopteryx</t>
  </si>
  <si>
    <t>Coenagrion</t>
  </si>
  <si>
    <t>Enallagma</t>
  </si>
  <si>
    <t>Erythromma</t>
  </si>
  <si>
    <t>Ischnura</t>
  </si>
  <si>
    <t>Pyrrhosoma</t>
  </si>
  <si>
    <t>Cordulia</t>
  </si>
  <si>
    <t>Epitheca</t>
  </si>
  <si>
    <t>Oxygastra</t>
  </si>
  <si>
    <t>Somatochlora</t>
  </si>
  <si>
    <t>Gomphus</t>
  </si>
  <si>
    <t>Lindenia</t>
  </si>
  <si>
    <t>Onychogomphus</t>
  </si>
  <si>
    <t>Ophiogomphus</t>
  </si>
  <si>
    <t>Paragomphus</t>
  </si>
  <si>
    <t>Chalcolestes</t>
  </si>
  <si>
    <t>Lestes</t>
  </si>
  <si>
    <t>Sympecma</t>
  </si>
  <si>
    <t>Crocothemis</t>
  </si>
  <si>
    <t>Diplacodes</t>
  </si>
  <si>
    <t>Leucorrhinia</t>
  </si>
  <si>
    <t>Libellula</t>
  </si>
  <si>
    <t>Orthetrum</t>
  </si>
  <si>
    <t>Sympetrum</t>
  </si>
  <si>
    <t>Trithemis</t>
  </si>
  <si>
    <t>Platycnemis</t>
  </si>
  <si>
    <t>Capnia</t>
  </si>
  <si>
    <t>Capnioneura</t>
  </si>
  <si>
    <t>Capnopsis</t>
  </si>
  <si>
    <t>Mesocapnia</t>
  </si>
  <si>
    <t>Zwicknia</t>
  </si>
  <si>
    <t>Chloroperla</t>
  </si>
  <si>
    <t>Isoptena</t>
  </si>
  <si>
    <t>Siphonoperla</t>
  </si>
  <si>
    <t>Xanthoperla</t>
  </si>
  <si>
    <t>Leuctra</t>
  </si>
  <si>
    <t>Pachyleuctra</t>
  </si>
  <si>
    <t>Tyrrhenoleuctra</t>
  </si>
  <si>
    <t>Amphinemura</t>
  </si>
  <si>
    <t>Nemoura</t>
  </si>
  <si>
    <t>Nemurella</t>
  </si>
  <si>
    <t>Protonemura</t>
  </si>
  <si>
    <t>Agnetina</t>
  </si>
  <si>
    <t>Dinocras</t>
  </si>
  <si>
    <t>Eoperla</t>
  </si>
  <si>
    <t>Helenoperla</t>
  </si>
  <si>
    <t>Marthamea</t>
  </si>
  <si>
    <t>Perla</t>
  </si>
  <si>
    <t>Arcynopteryx</t>
  </si>
  <si>
    <t>Besdolus</t>
  </si>
  <si>
    <t>Bulgaroperla</t>
  </si>
  <si>
    <t>Dictyogenus</t>
  </si>
  <si>
    <t>Diura</t>
  </si>
  <si>
    <t>Guadalgenus</t>
  </si>
  <si>
    <t>Hemimelaena</t>
  </si>
  <si>
    <t>Isogenus</t>
  </si>
  <si>
    <t>Isoperla</t>
  </si>
  <si>
    <t>Perlodes</t>
  </si>
  <si>
    <t>Brachyptera</t>
  </si>
  <si>
    <t>Oemopteryx</t>
  </si>
  <si>
    <t>Rhabdiopteryx</t>
  </si>
  <si>
    <t>Taeniopteryx</t>
  </si>
  <si>
    <t>Beraea</t>
  </si>
  <si>
    <t>Beraeamyia</t>
  </si>
  <si>
    <t>Beraeodes</t>
  </si>
  <si>
    <t>Ernodes</t>
  </si>
  <si>
    <t>Brachycentrus</t>
  </si>
  <si>
    <t>Micrasema</t>
  </si>
  <si>
    <t>Oligoplectrum</t>
  </si>
  <si>
    <t>Calamoceras</t>
  </si>
  <si>
    <t>Ecnomus</t>
  </si>
  <si>
    <t>Agapetus</t>
  </si>
  <si>
    <t>Catagapetus</t>
  </si>
  <si>
    <t>Glossosoma</t>
  </si>
  <si>
    <t>Synagapetus</t>
  </si>
  <si>
    <t>Goera</t>
  </si>
  <si>
    <t>Lithax</t>
  </si>
  <si>
    <t>Silo</t>
  </si>
  <si>
    <t>Silonella</t>
  </si>
  <si>
    <t>Cheumatopsyche</t>
  </si>
  <si>
    <t>Diplectrona</t>
  </si>
  <si>
    <t>Hydropsyche</t>
  </si>
  <si>
    <t>Agraylea</t>
  </si>
  <si>
    <t>Allotrichia</t>
  </si>
  <si>
    <t>Hydroptila</t>
  </si>
  <si>
    <t>Ithytrichia</t>
  </si>
  <si>
    <t>Orthotrichia</t>
  </si>
  <si>
    <t>Oxyethira</t>
  </si>
  <si>
    <t>Ptilocolepus</t>
  </si>
  <si>
    <t>Crunoecia</t>
  </si>
  <si>
    <t>Lasiocephala</t>
  </si>
  <si>
    <t>Lepidostoma</t>
  </si>
  <si>
    <t>Adicella</t>
  </si>
  <si>
    <t>Athripsodes</t>
  </si>
  <si>
    <t>Ceraclea</t>
  </si>
  <si>
    <t>Erotesis</t>
  </si>
  <si>
    <t>Leptocerus</t>
  </si>
  <si>
    <t>Mystacides</t>
  </si>
  <si>
    <t>Oecetis</t>
  </si>
  <si>
    <t>Setodes</t>
  </si>
  <si>
    <t>Triaenodes</t>
  </si>
  <si>
    <t>Allogamus</t>
  </si>
  <si>
    <t>Anabolia</t>
  </si>
  <si>
    <t>Annitella</t>
  </si>
  <si>
    <t>Anomalopterygella</t>
  </si>
  <si>
    <t>Apatania</t>
  </si>
  <si>
    <t>Chaetopterygopsis</t>
  </si>
  <si>
    <t>Chaetopteryx</t>
  </si>
  <si>
    <t>Drusus</t>
  </si>
  <si>
    <t>Ecclisopteryx</t>
  </si>
  <si>
    <t>Glyphotaelius</t>
  </si>
  <si>
    <t>Grammotaulius</t>
  </si>
  <si>
    <t>Halesus</t>
  </si>
  <si>
    <t>Hydatophylax</t>
  </si>
  <si>
    <t>Ironoquia</t>
  </si>
  <si>
    <t>Limnephilus</t>
  </si>
  <si>
    <t>Melampophylax</t>
  </si>
  <si>
    <t>Mesophylax</t>
  </si>
  <si>
    <t>Micropterna</t>
  </si>
  <si>
    <t>Phacopteryx</t>
  </si>
  <si>
    <t>Potamophylax</t>
  </si>
  <si>
    <t>Rhadicoleptus</t>
  </si>
  <si>
    <t>Stenophylax</t>
  </si>
  <si>
    <t>Molanna</t>
  </si>
  <si>
    <t>Molannodes</t>
  </si>
  <si>
    <t>Odontocerum</t>
  </si>
  <si>
    <t>Chimarra</t>
  </si>
  <si>
    <t>Philopotamus</t>
  </si>
  <si>
    <t>Wormaldia</t>
  </si>
  <si>
    <t>Agrypnia</t>
  </si>
  <si>
    <t>Hagenella</t>
  </si>
  <si>
    <t>Oligostomis</t>
  </si>
  <si>
    <t>2,5</t>
  </si>
  <si>
    <t>Oligotricha</t>
  </si>
  <si>
    <t>Phryganea</t>
  </si>
  <si>
    <t>Trichostegia</t>
  </si>
  <si>
    <t>Cyrnus</t>
  </si>
  <si>
    <t>Holocentropus</t>
  </si>
  <si>
    <t>Neureclipsis</t>
  </si>
  <si>
    <t>Plectrocnemia</t>
  </si>
  <si>
    <t>Polycentropus</t>
  </si>
  <si>
    <t>Lype</t>
  </si>
  <si>
    <t>Metalype</t>
  </si>
  <si>
    <t>Paduniella</t>
  </si>
  <si>
    <t>Psychomyia</t>
  </si>
  <si>
    <t>Tinodes</t>
  </si>
  <si>
    <t>Hyperrhyacophila</t>
  </si>
  <si>
    <t>Hyporhyacophila</t>
  </si>
  <si>
    <t>Pararhyacophila</t>
  </si>
  <si>
    <t>Rhyacophila</t>
  </si>
  <si>
    <t>Notidobia</t>
  </si>
  <si>
    <t>Oecismus</t>
  </si>
  <si>
    <t>Schizopelex</t>
  </si>
  <si>
    <t>Sericostoma</t>
  </si>
  <si>
    <t>Thremma</t>
  </si>
  <si>
    <t>Dendrocoelum</t>
  </si>
  <si>
    <t>Dugesia</t>
  </si>
  <si>
    <t>Schmidtea</t>
  </si>
  <si>
    <t>Crenobia</t>
  </si>
  <si>
    <t>Phagocata</t>
  </si>
  <si>
    <t>Planaria</t>
  </si>
  <si>
    <t>Polycelis</t>
  </si>
  <si>
    <t>Ephoron</t>
  </si>
  <si>
    <t>Cordulegaster</t>
  </si>
  <si>
    <t>AVERAGE of dis1</t>
  </si>
  <si>
    <t>AVERAGE of dis2</t>
  </si>
  <si>
    <t>AVERAGE of dis3</t>
  </si>
  <si>
    <t>AVERAGE of dis4</t>
  </si>
  <si>
    <t>Grand Total</t>
  </si>
  <si>
    <t>dispersal_strategy</t>
  </si>
  <si>
    <t>mean</t>
  </si>
  <si>
    <t>median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</si>
</sst>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Arial"/>
      <scheme val="minor"/>
    </font>
    <font>
      <sz val="12.0"/>
      <color rgb="FF000000"/>
      <name val="Calibri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1F1F1F"/>
      <name val="Arial"/>
      <scheme val="minor"/>
    </font>
    <font>
      <i/>
      <sz val="10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2">
    <border/>
    <border>
      <bottom style="thin">
        <color rgb="FFA9D08E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4" numFmtId="0" xfId="0" applyFont="1"/>
    <xf borderId="0" fillId="0" fontId="5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6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1" fillId="2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0" fillId="0" fontId="8" numFmtId="0" xfId="0" applyFont="1"/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9" numFmtId="0" xfId="0" applyAlignment="1" applyFill="1" applyFont="1">
      <alignment horizontal="center" readingOrder="0" shrinkToFit="0" vertical="bottom" wrapText="0"/>
    </xf>
    <xf borderId="0" fillId="0" fontId="0" numFmtId="0" xfId="0" applyAlignment="1" applyFont="1">
      <alignment horizontal="left" readingOrder="0" shrinkToFit="0" vertical="bottom" wrapText="0"/>
    </xf>
    <xf borderId="0" fillId="0" fontId="0" numFmtId="0" xfId="0" applyAlignment="1" applyFont="1">
      <alignment horizontal="center" readingOrder="0" shrinkToFit="0" vertical="bottom" wrapText="0"/>
    </xf>
    <xf borderId="0" fillId="4" fontId="10" numFmtId="0" xfId="0" applyAlignment="1" applyFill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4" numFmtId="0" xfId="0" applyFont="1"/>
    <xf borderId="0" fillId="0" fontId="4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0" fillId="5" fontId="4" numFmtId="0" xfId="0" applyFill="1" applyFont="1"/>
    <xf borderId="0" fillId="5" fontId="4" numFmtId="164" xfId="0" applyAlignment="1" applyFont="1" applyNumberFormat="1">
      <alignment horizontal="center"/>
    </xf>
    <xf borderId="0" fillId="5" fontId="4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6" fontId="4" numFmtId="164" xfId="0" applyFont="1" applyNumberFormat="1"/>
    <xf borderId="0" fillId="6" fontId="4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F427" sheet="dispersal_strategy_family"/>
  </cacheSource>
  <cacheFields>
    <cacheField name="Family" numFmtId="0">
      <sharedItems>
        <s v="Chrysomelidae"/>
        <s v="Dryopidae"/>
        <s v="Dytiscidae"/>
        <s v="Elmidae"/>
        <s v="Gyrinidae"/>
        <s v="Haliplidae"/>
        <s v="Helophoridae"/>
        <s v="Hydraenidae"/>
        <s v="Hydrochidae"/>
        <s v="Hydrophilidae"/>
        <s v="Hygrobiidae"/>
        <s v="Noteridae"/>
        <s v="Psephenidae"/>
        <s v="Scirtidae(=Helodidae)"/>
        <s v="Asellidae"/>
        <s v="Astacidae"/>
        <s v="Corophiidae"/>
        <s v="Atyidae"/>
        <s v="Gammaridae"/>
        <s v="Palaemonidae"/>
        <s v="Anthomyiidae"/>
        <s v="Athericidae"/>
        <s v="Blephariceridae"/>
        <s v="Ceratopogonidae"/>
        <s v="Culicidae"/>
        <s v="Chironomidae"/>
        <s v="Dixidae"/>
        <s v="Empididae"/>
        <s v="Dolichopodidae"/>
        <s v="Ephydridae"/>
        <s v="Limoniidae"/>
        <s v="Psychodidae"/>
        <s v="Ptychopteridae"/>
        <s v="Rhagionidae"/>
        <s v="Scatophagidae"/>
        <s v="Sciomyzidae"/>
        <s v="Simuliidae"/>
        <s v="Stratiomyidae"/>
        <s v="Syrphidae"/>
        <s v="Tabanidae"/>
        <s v="Thaumaleidae"/>
        <s v="Tipulidae"/>
        <s v="Baetidae"/>
        <s v="Caenidae"/>
        <s v="Ephemerellidae"/>
        <s v="Ephemeridae"/>
        <s v="Heptageniidae"/>
        <s v="Leptophlebiidae"/>
        <s v="Oligoneuriidae"/>
        <s v="Potamanthidae"/>
        <s v="Prosopistomatidae"/>
        <s v="Siphlonuridae"/>
        <s v="Aphelocheiridae"/>
        <s v="Corixidae"/>
        <s v="Gerridae"/>
        <s v="Hydrometridae"/>
        <s v="Mesoveliidae"/>
        <s v="Naucoridae"/>
        <s v="Nepidae"/>
        <s v="Notonectidae"/>
        <s v="Pleidae"/>
        <s v="Veliidae"/>
        <s v="Erpobdellidae"/>
        <s v="Glossiphoniidae"/>
        <s v="Hirudidae(=Hirudinidae)"/>
        <s v="Piscicolidae"/>
        <s v="Sialidae"/>
        <s v="Crambidae(=Pyralidae)"/>
        <s v="Ancylidae"/>
        <s v="Bithyniidae"/>
        <s v="Ferrissia"/>
        <s v="Hydrobiidae"/>
        <s v="Lymnaeidae"/>
        <s v="Neritidae"/>
        <s v="Physidae"/>
        <s v="Planorbidae"/>
        <s v="Sphaeriidae"/>
        <s v="Thiaridae"/>
        <s v="Unionidae"/>
        <s v="Valvatidae"/>
        <s v="Viviparidae"/>
        <s v="Aeshnidae"/>
        <s v="Calopterygidae"/>
        <s v="Coenagrionidae"/>
        <s v="Corduliidae"/>
        <s v="Gomphidae"/>
        <s v="Lestidae"/>
        <s v="Libellulidae"/>
        <s v="Platycnemididae"/>
        <s v="Capniidae"/>
        <s v="Chloroperlidae"/>
        <s v="Leuctridae"/>
        <s v="Nemouridae"/>
        <s v="Perlidae"/>
        <s v="Perlodidae"/>
        <s v="Taeniopterygidae"/>
        <s v="Beraeidae"/>
        <s v="Brachycentridae"/>
        <s v="Calamoceratidae"/>
        <s v="Ecnomidae"/>
        <s v="Glossosomatidae"/>
        <s v="Goeridae"/>
        <s v="Hydropsychidae"/>
        <s v="Hydroptilidae"/>
        <s v="Lepidostomatidae"/>
        <s v="Leptoceridae"/>
        <s v="Limnephilidae"/>
        <s v="Molannidae"/>
        <s v="Odontoceridae"/>
        <s v="Philopotamidae"/>
        <s v="Phryganeidae"/>
        <s v="Polycentropodidae"/>
        <s v="Psychomyiidae"/>
        <s v="Rhyacophilidae"/>
        <s v="Sericostomatidae"/>
        <s v="Uenoidae"/>
        <s v="Dendrocoelidae"/>
        <s v="Dugesiidae"/>
        <s v="Planariidae"/>
        <s v="Polymitarcidae"/>
        <s v="Cordulegasteridae"/>
        <s v="Acariformes"/>
        <s v="Curculionidae"/>
        <s v="Ostracoda"/>
        <s v="Oligocheta"/>
      </sharedItems>
    </cacheField>
    <cacheField name="Genus" numFmtId="0">
      <sharedItems>
        <s v="Donacia"/>
        <s v="Macroplea"/>
        <s v="Plateumaris"/>
        <s v="Dryops"/>
        <s v="Pomatinus"/>
        <s v="Acilius"/>
        <s v="Agabus"/>
        <s v="Bidessus"/>
        <s v="Boreonectes"/>
        <s v="Clemnius"/>
        <s v="Colymbetes"/>
        <s v="Cybister"/>
        <s v="Deronectes"/>
        <s v="Dytiscus"/>
        <s v="Eretes"/>
        <s v="Etruscodytes"/>
        <s v="Graptodytes"/>
        <s v="Graphoderus"/>
        <s v="Hydaticus"/>
        <s v="Hydroglyphus"/>
        <s v="Hydrocolus"/>
        <s v="Hydroporus"/>
        <s v="Hydrovatus"/>
        <s v="Hygrotus"/>
        <s v="Hyphydrus"/>
        <s v="Iberoporus"/>
        <s v="Ilybius"/>
        <s v="Laccophilus"/>
        <s v="Laccornis"/>
        <s v="Liopterus"/>
        <s v="Meladema"/>
        <s v="Melanodytes"/>
        <s v="Metaporus"/>
        <s v="Methles"/>
        <s v="Nartus"/>
        <s v="Nebrioporus"/>
        <s v="Oreodytes"/>
        <s v="Platambus"/>
        <s v="Porhydrus"/>
        <s v="Rhantus"/>
        <s v="Rhithrodytes"/>
        <s v="Scarodytes"/>
        <s v="Siettitia"/>
        <s v="Stictonectes"/>
        <s v="Stictotarsus"/>
        <s v="Trichonectes"/>
        <s v="Yola"/>
        <s v="Dupophilus"/>
        <s v="Elmis"/>
        <s v="Esolus"/>
        <s v="Grouvellinus"/>
        <s v="Limnius"/>
        <s v="Macronychus"/>
        <s v="Normandia"/>
        <s v="Oulimnius"/>
        <s v="Potamophilus"/>
        <s v="Riolus"/>
        <s v="Stenelmis"/>
        <s v="Aulonogyrus"/>
        <s v="Gyrinus"/>
        <s v="Orectochilus"/>
        <s v="Brychius"/>
        <s v="Haliplus"/>
        <s v="Peltodytes"/>
        <s v="Helophorus"/>
        <s v="Hydraena"/>
        <s v="Limnebius"/>
        <s v="Ochthebius"/>
        <s v="Hydrochus"/>
        <s v="Anacaena"/>
        <s v="Berosus"/>
        <s v="Crenitis"/>
        <s v="Chaetarthria"/>
        <s v="Coelostoma"/>
        <s v="Cymbiodyta"/>
        <s v="Enochrus"/>
        <s v="Helochares"/>
        <s v="Hemisphaera"/>
        <s v="Hydrobius"/>
        <s v="Hydrochara"/>
        <s v="Hydrophilus"/>
        <s v="Laccobius"/>
        <s v="Limnoxenus"/>
        <s v="Paracymus"/>
        <s v="Sternolophus"/>
        <s v="Hygrobia"/>
        <s v="Canthydrus"/>
        <s v="Noterus"/>
        <s v="Eubria"/>
        <s v="Cyphon"/>
        <s v="Elodes"/>
        <s v="Hydrocyphon"/>
        <s v="Scirtes"/>
        <s v="Asellus"/>
        <s v="Proasellus"/>
        <s v="Astacus"/>
        <s v="Austropotamobius"/>
        <s v="Corophium"/>
        <s v="Atyaephyra"/>
        <s v="Echinogammarus"/>
        <s v="Gammarus"/>
        <s v="Palaemon"/>
        <s v="Palaemonetes"/>
        <s v="Anthomyiidae"/>
        <s v="Atherix"/>
        <s v="Atrichops"/>
        <s v="Ibisia"/>
        <s v="Apistomyia"/>
        <s v="Blepharicera"/>
        <s v="Dioptopsis"/>
        <s v="Liponeura"/>
        <s v="Ceratopogoninae"/>
        <s v="Dasyheleinae"/>
        <s v="Forcipomyinae"/>
        <s v="Anopheles"/>
        <s v="Culicinae"/>
        <s v="Chironominae -Chironomini"/>
        <s v="Chironominae - Tanytarsini"/>
        <s v="Orthocladiinae / Diamesinae/Prodiamesinae"/>
        <s v="Podonominae"/>
        <s v="Tanypodinae"/>
        <s v="Dixa"/>
        <s v="Dixella"/>
        <s v="Clinocerinae"/>
        <s v="Hemerodromiinae"/>
        <s v="Dolichopodidae"/>
        <s v="Ephydridae"/>
        <s v="Eriopterini"/>
        <s v="Hexatomini"/>
        <s v="Limoniini"/>
        <s v="Pediciini"/>
        <s v="Psychodidae"/>
        <s v="Ptychopteridae"/>
        <s v="Chrysopilus"/>
        <s v="Acanthocnema"/>
        <s v="Sciomyzidae"/>
        <s v="Prosimuliinae"/>
        <s v="Simuliinae"/>
        <s v="Stratiomyidae"/>
        <s v="Syrphidae"/>
        <s v="Tabanidae"/>
        <s v="Thaumaleidae"/>
        <s v="Tipulidae"/>
        <s v="Acentrella"/>
        <s v="Alainites"/>
        <s v="Baetis"/>
        <s v="Pseudocentroptiloides"/>
        <s v="Centroptilum"/>
        <s v="Cloeon"/>
        <s v="Nigrobaetis"/>
        <s v="Procloeon"/>
        <s v="Pseudocentroptilum"/>
        <s v="Brachycercus"/>
        <s v="Caenis"/>
        <s v="Ephemerella"/>
        <s v="Torleya"/>
        <s v="Ephemera"/>
        <s v="Afronurus"/>
        <s v="Ecdyonurus"/>
        <s v="Electrogena"/>
        <s v="Epeorus"/>
        <s v="Heptagenia"/>
        <s v="Rhithrogena"/>
        <s v="Choroterpes"/>
        <s v="Habroleptoides"/>
        <s v="Habrophlebia"/>
        <s v="Leptophlebia"/>
        <s v="Paraleptophlebia"/>
        <s v="Thraulus"/>
        <s v="Oligoneuriella"/>
        <s v="Oligoneuriopsis"/>
        <s v="Potamanthus"/>
        <s v="Prosopistoma"/>
        <s v="Siphlonurus"/>
        <s v="Aphelocheirus"/>
        <s v="Arctocorisa"/>
        <s v="Callicorixa"/>
        <s v="Corixa"/>
        <s v="Cymatia"/>
        <s v="Glaenocorisa"/>
        <s v="Heliocorisa"/>
        <s v="Hesperocorixa"/>
        <s v="Paracorixa"/>
        <s v="Parasigara"/>
        <s v="Sigara"/>
        <s v="Trichocorixa"/>
        <s v="Aquarius"/>
        <s v="Gerris"/>
        <s v="Limnoporus"/>
        <s v="Hydrometra"/>
        <s v="Mesovelia"/>
        <s v="Ilyocoris"/>
        <s v="Naucoris"/>
        <s v="Nepa"/>
        <s v="Ranatra"/>
        <s v="Anisops"/>
        <s v="Notonecta"/>
        <s v="Nychia"/>
        <s v="Plea"/>
        <s v="Microvelia"/>
        <s v="Rhagovelia"/>
        <s v="Velia"/>
        <s v="Dina"/>
        <s v="Erpobdella"/>
        <s v="Trocheta"/>
        <s v="Batracobdella"/>
        <s v="Glossiphonia"/>
        <s v="Haementeria"/>
        <s v="Helobdella"/>
        <s v="Hemiclepsis"/>
        <s v="Theromyzon"/>
        <s v="Haemopsis"/>
        <s v="Hirudo"/>
        <s v="Limnatis"/>
        <s v="Piscicola"/>
        <s v="Sialis"/>
        <s v="Cataclysta"/>
        <s v="Elophila"/>
        <s v="Nymphula"/>
        <s v="Parapoynx"/>
        <s v="Ancylus"/>
        <s v="Ferrissia"/>
        <s v="Bithynia"/>
        <s v="Belgrandiella"/>
        <s v="Bythinella"/>
        <s v="Bythiospeum"/>
        <s v="Lithoglyphus"/>
        <s v="Mercuria"/>
        <s v="Potamopyrgus"/>
        <s v="Pseudoamnicola"/>
        <s v="Galba"/>
        <s v="Lymnaea"/>
        <s v="Radix"/>
        <s v="Stagnicola"/>
        <s v="Theodoxus"/>
        <s v="Physa"/>
        <s v="Physella"/>
        <s v="Anisus"/>
        <s v="Bathyomphalus"/>
        <s v="Bulinus"/>
        <s v="Gyraulus"/>
        <s v="Planorbarius"/>
        <s v="Planorbis"/>
        <s v="Segmentina"/>
        <s v="Pisidium"/>
        <s v="Sphaerium"/>
        <s v="Melanoides"/>
        <s v="Anodonta"/>
        <s v="Unio"/>
        <s v="Valvata"/>
        <s v="Viviparus"/>
        <s v="Aeshna"/>
        <s v="Anax"/>
        <s v="Boyeria"/>
        <s v="Brachytron"/>
        <s v="Caliaeschna"/>
        <s v="Calopteryx"/>
        <s v="Coenagrion"/>
        <s v="Enallagma"/>
        <s v="Erythromma"/>
        <s v="Ischnura"/>
        <s v="Pyrrhosoma"/>
        <s v="Cordulia"/>
        <s v="Epitheca"/>
        <s v="Oxygastra"/>
        <s v="Somatochlora"/>
        <s v="Gomphus"/>
        <s v="Lindenia"/>
        <s v="Onychogomphus"/>
        <s v="Ophiogomphus"/>
        <s v="Paragomphus"/>
        <s v="Chalcolestes"/>
        <s v="Lestes"/>
        <s v="Sympecma"/>
        <s v="Crocothemis"/>
        <s v="Diplacodes"/>
        <s v="Leucorrhinia"/>
        <s v="Libellula"/>
        <s v="Orthetrum"/>
        <s v="Sympetrum"/>
        <s v="Trithemis"/>
        <s v="Platycnemis"/>
        <s v="Capnia"/>
        <s v="Capnioneura"/>
        <s v="Capnopsis"/>
        <s v="Mesocapnia"/>
        <s v="Zwicknia"/>
        <s v="Chloroperla"/>
        <s v="Isoptena"/>
        <s v="Siphonoperla"/>
        <s v="Xanthoperla"/>
        <s v="Leuctra"/>
        <s v="Pachyleuctra"/>
        <s v="Tyrrhenoleuctra"/>
        <s v="Amphinemura"/>
        <s v="Nemoura"/>
        <s v="Nemurella"/>
        <s v="Protonemura"/>
        <s v="Agnetina"/>
        <s v="Dinocras"/>
        <s v="Eoperla"/>
        <s v="Helenoperla"/>
        <s v="Marthamea"/>
        <s v="Perla"/>
        <s v="Arcynopteryx"/>
        <s v="Besdolus"/>
        <s v="Bulgaroperla"/>
        <s v="Dictyogenus"/>
        <s v="Diura"/>
        <s v="Guadalgenus"/>
        <s v="Hemimelaena"/>
        <s v="Isogenus"/>
        <s v="Isoperla"/>
        <s v="Perlodes"/>
        <s v="Brachyptera"/>
        <s v="Oemopteryx"/>
        <s v="Rhabdiopteryx"/>
        <s v="Taeniopteryx"/>
        <s v="Beraea"/>
        <s v="Beraeamyia"/>
        <s v="Beraeodes"/>
        <s v="Ernodes"/>
        <s v="Brachycentrus"/>
        <s v="Micrasema"/>
        <s v="Oligoplectrum"/>
        <s v="Calamoceras"/>
        <s v="Ecnomus"/>
        <s v="Agapetus"/>
        <s v="Catagapetus"/>
        <s v="Glossosoma"/>
        <s v="Synagapetus"/>
        <s v="Goera"/>
        <s v="Lithax"/>
        <s v="Silo"/>
        <s v="Silonella"/>
        <s v="Cheumatopsyche"/>
        <s v="Diplectrona"/>
        <s v="Hydropsyche"/>
        <s v="Agraylea"/>
        <s v="Allotrichia"/>
        <s v="Hydroptila"/>
        <s v="Ithytrichia"/>
        <s v="Orthotrichia"/>
        <s v="Oxyethira"/>
        <s v="Ptilocolepus"/>
        <s v="Crunoecia"/>
        <s v="Lasiocephala"/>
        <s v="Lepidostoma"/>
        <s v="Adicella"/>
        <s v="Athripsodes"/>
        <s v="Ceraclea"/>
        <s v="Erotesis"/>
        <s v="Leptocerus"/>
        <s v="Mystacides"/>
        <s v="Oecetis"/>
        <s v="Setodes"/>
        <s v="Triaenodes"/>
        <s v="Allogamus"/>
        <s v="Anabolia"/>
        <s v="Annitella"/>
        <s v="Anomalopterygella"/>
        <s v="Apatania"/>
        <s v="Chaetopterygopsis"/>
        <s v="Chaetopteryx"/>
        <s v="Drusus"/>
        <s v="Ecclisopteryx"/>
        <s v="Glyphotaelius"/>
        <s v="Grammotaulius"/>
        <s v="Halesus"/>
        <s v="Hydatophylax"/>
        <s v="Ironoquia"/>
        <s v="Limnephilus"/>
        <s v="Melampophylax"/>
        <s v="Mesophylax"/>
        <s v="Micropterna"/>
        <s v="Phacopteryx"/>
        <s v="Potamophylax"/>
        <s v="Rhadicoleptus"/>
        <s v="Stenophylax"/>
        <s v="Molanna"/>
        <s v="Molannodes"/>
        <s v="Odontocerum"/>
        <s v="Chimarra"/>
        <s v="Philopotamus"/>
        <s v="Wormaldia"/>
        <s v="Agrypnia"/>
        <s v="Hagenella"/>
        <s v="Oligostomis"/>
        <s v="Oligotricha"/>
        <s v="Phryganea"/>
        <s v="Trichostegia"/>
        <s v="Cyrnus"/>
        <s v="Holocentropus"/>
        <s v="Neureclipsis"/>
        <s v="Plectrocnemia"/>
        <s v="Polycentropus"/>
        <s v="Lype"/>
        <s v="Metalype"/>
        <s v="Paduniella"/>
        <s v="Psychomyia"/>
        <s v="Tinodes"/>
        <s v="Hyperrhyacophila"/>
        <s v="Hyporhyacophila"/>
        <s v="Pararhyacophila"/>
        <s v="Rhyacophila"/>
        <s v="Notidobia"/>
        <s v="Oecismus"/>
        <s v="Schizopelex"/>
        <s v="Sericostoma"/>
        <s v="Thremma"/>
        <s v="Dendrocoelum"/>
        <s v="Dugesia"/>
        <s v="Schmidtea"/>
        <s v="Crenobia"/>
        <s v="Phagocata"/>
        <s v="Planaria"/>
        <s v="Polycelis"/>
        <s v="Ephoron"/>
        <s v="Cordulegaster"/>
        <s v="Acariformes"/>
        <s v="Curculionidae"/>
        <s v="Ostracoda"/>
        <s v="Oligocheta"/>
      </sharedItems>
    </cacheField>
    <cacheField name="dis1">
      <sharedItems containsMixedTypes="1" containsNumber="1" containsInteger="1">
        <n v="0.0"/>
        <n v="1.0"/>
        <n v="2.0"/>
        <n v="3.0"/>
        <s v="NA"/>
      </sharedItems>
    </cacheField>
    <cacheField name="dis2">
      <sharedItems containsMixedTypes="1" containsNumber="1" containsInteger="1">
        <n v="0.0"/>
        <n v="1.0"/>
        <n v="2.0"/>
        <n v="3.0"/>
        <s v="NA"/>
        <s v="1,75"/>
      </sharedItems>
    </cacheField>
    <cacheField name="dis3">
      <sharedItems containsMixedTypes="1" containsNumber="1" containsInteger="1">
        <n v="0.0"/>
        <n v="2.0"/>
        <n v="3.0"/>
        <n v="1.0"/>
        <s v="NA"/>
      </sharedItems>
    </cacheField>
    <cacheField name="dis4">
      <sharedItems containsMixedTypes="1" containsNumber="1" containsInteger="1">
        <n v="3.0"/>
        <n v="0.0"/>
        <n v="2.0"/>
        <n v="1.0"/>
        <s v="NA"/>
        <s v="2,25"/>
        <s v="2,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127" firstHeaderRow="0" firstDataRow="2" firstDataCol="0"/>
  <pivotFields>
    <pivotField name="Family" axis="axisRow" compact="0" outline="0" multipleItemSelectionAllowed="1" showAll="0" sortType="ascending">
      <items>
        <item x="121"/>
        <item x="81"/>
        <item x="68"/>
        <item x="20"/>
        <item x="52"/>
        <item x="14"/>
        <item x="15"/>
        <item x="21"/>
        <item x="17"/>
        <item x="42"/>
        <item x="96"/>
        <item x="69"/>
        <item x="22"/>
        <item x="97"/>
        <item x="43"/>
        <item x="98"/>
        <item x="82"/>
        <item x="89"/>
        <item x="23"/>
        <item x="25"/>
        <item x="90"/>
        <item x="0"/>
        <item x="83"/>
        <item x="120"/>
        <item x="84"/>
        <item x="53"/>
        <item x="16"/>
        <item x="67"/>
        <item x="24"/>
        <item x="122"/>
        <item x="116"/>
        <item x="26"/>
        <item x="28"/>
        <item x="1"/>
        <item x="117"/>
        <item x="2"/>
        <item x="99"/>
        <item x="3"/>
        <item x="27"/>
        <item x="44"/>
        <item x="45"/>
        <item x="29"/>
        <item x="62"/>
        <item x="70"/>
        <item x="18"/>
        <item x="54"/>
        <item x="63"/>
        <item x="100"/>
        <item x="101"/>
        <item x="85"/>
        <item x="4"/>
        <item x="5"/>
        <item x="6"/>
        <item x="46"/>
        <item x="64"/>
        <item x="7"/>
        <item x="71"/>
        <item x="8"/>
        <item x="55"/>
        <item x="9"/>
        <item x="102"/>
        <item x="103"/>
        <item x="10"/>
        <item x="104"/>
        <item x="105"/>
        <item x="47"/>
        <item x="86"/>
        <item x="91"/>
        <item x="87"/>
        <item x="106"/>
        <item x="30"/>
        <item x="72"/>
        <item x="56"/>
        <item x="107"/>
        <item x="57"/>
        <item x="92"/>
        <item x="58"/>
        <item x="73"/>
        <item x="11"/>
        <item x="59"/>
        <item x="108"/>
        <item x="124"/>
        <item x="48"/>
        <item x="123"/>
        <item x="19"/>
        <item x="93"/>
        <item x="94"/>
        <item x="109"/>
        <item x="110"/>
        <item x="74"/>
        <item x="65"/>
        <item x="118"/>
        <item x="75"/>
        <item x="88"/>
        <item x="60"/>
        <item x="111"/>
        <item x="119"/>
        <item x="49"/>
        <item x="50"/>
        <item x="12"/>
        <item x="31"/>
        <item x="112"/>
        <item x="32"/>
        <item x="33"/>
        <item x="113"/>
        <item x="34"/>
        <item x="35"/>
        <item x="13"/>
        <item x="114"/>
        <item x="66"/>
        <item x="36"/>
        <item x="51"/>
        <item x="76"/>
        <item x="37"/>
        <item x="38"/>
        <item x="39"/>
        <item x="95"/>
        <item x="40"/>
        <item x="77"/>
        <item x="41"/>
        <item x="115"/>
        <item x="78"/>
        <item x="79"/>
        <item x="61"/>
        <item x="80"/>
        <item t="default"/>
      </items>
    </pivotField>
    <pivotField name="Gen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t="default"/>
      </items>
    </pivotField>
    <pivotField name="dis1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2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is3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4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0"/>
  </rowFields>
  <colFields>
    <field x="-2"/>
  </colFields>
  <dataFields>
    <dataField name="AVERAGE of dis1" fld="2" subtotal="average" baseField="0"/>
    <dataField name="AVERAGE of dis2" fld="3" subtotal="average" baseField="0"/>
    <dataField name="AVERAGE of dis3" fld="4" subtotal="average" baseField="0"/>
    <dataField name="AVERAGE of dis4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5</v>
      </c>
      <c r="B2" s="4" t="s">
        <v>6</v>
      </c>
      <c r="C2" s="4" t="s">
        <v>7</v>
      </c>
      <c r="D2" s="4">
        <v>4.0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8</v>
      </c>
      <c r="B3" s="7" t="s">
        <v>9</v>
      </c>
      <c r="C3" s="7" t="s">
        <v>10</v>
      </c>
      <c r="D3" s="7">
        <v>4.0</v>
      </c>
    </row>
    <row r="4">
      <c r="A4" s="6" t="s">
        <v>8</v>
      </c>
      <c r="B4" s="7" t="s">
        <v>11</v>
      </c>
      <c r="C4" s="7" t="s">
        <v>10</v>
      </c>
      <c r="D4" s="7">
        <v>4.0</v>
      </c>
    </row>
    <row r="5">
      <c r="A5" s="6" t="s">
        <v>8</v>
      </c>
      <c r="B5" s="7" t="s">
        <v>12</v>
      </c>
      <c r="C5" s="7" t="s">
        <v>10</v>
      </c>
      <c r="D5" s="7">
        <v>5.0</v>
      </c>
    </row>
    <row r="6">
      <c r="A6" s="6" t="s">
        <v>8</v>
      </c>
      <c r="B6" s="7" t="s">
        <v>13</v>
      </c>
      <c r="C6" s="7" t="s">
        <v>10</v>
      </c>
      <c r="D6" s="7">
        <v>3.0</v>
      </c>
    </row>
    <row r="7">
      <c r="A7" s="6" t="s">
        <v>8</v>
      </c>
      <c r="B7" s="7" t="s">
        <v>14</v>
      </c>
      <c r="C7" s="7" t="s">
        <v>10</v>
      </c>
      <c r="D7" s="7">
        <v>5.0</v>
      </c>
    </row>
    <row r="8">
      <c r="A8" s="6" t="s">
        <v>8</v>
      </c>
      <c r="B8" s="7" t="s">
        <v>15</v>
      </c>
      <c r="C8" s="7" t="s">
        <v>10</v>
      </c>
      <c r="D8" s="7">
        <v>3.0</v>
      </c>
    </row>
    <row r="9">
      <c r="A9" s="6" t="s">
        <v>8</v>
      </c>
      <c r="B9" s="7" t="s">
        <v>16</v>
      </c>
      <c r="C9" s="7" t="s">
        <v>10</v>
      </c>
      <c r="D9" s="7">
        <v>4.0</v>
      </c>
    </row>
    <row r="10">
      <c r="A10" s="6" t="s">
        <v>8</v>
      </c>
      <c r="B10" s="7" t="s">
        <v>17</v>
      </c>
      <c r="C10" s="7" t="s">
        <v>10</v>
      </c>
      <c r="D10" s="7">
        <v>5.0</v>
      </c>
    </row>
    <row r="11">
      <c r="A11" s="6" t="s">
        <v>8</v>
      </c>
      <c r="B11" s="7" t="s">
        <v>18</v>
      </c>
      <c r="C11" s="7" t="s">
        <v>10</v>
      </c>
      <c r="D11" s="7">
        <v>5.0</v>
      </c>
      <c r="F11" s="8"/>
    </row>
    <row r="12">
      <c r="A12" s="6" t="s">
        <v>8</v>
      </c>
      <c r="B12" s="7" t="s">
        <v>19</v>
      </c>
      <c r="C12" s="7" t="s">
        <v>10</v>
      </c>
      <c r="D12" s="7">
        <v>5.0</v>
      </c>
    </row>
    <row r="13">
      <c r="A13" s="6" t="s">
        <v>8</v>
      </c>
      <c r="B13" s="7" t="s">
        <v>20</v>
      </c>
      <c r="C13" s="7" t="s">
        <v>10</v>
      </c>
      <c r="D13" s="7">
        <v>3.0</v>
      </c>
    </row>
    <row r="14">
      <c r="A14" s="6" t="s">
        <v>8</v>
      </c>
      <c r="B14" s="7" t="s">
        <v>21</v>
      </c>
      <c r="C14" s="7" t="s">
        <v>10</v>
      </c>
      <c r="D14" s="7">
        <v>3.0</v>
      </c>
    </row>
    <row r="15">
      <c r="A15" s="6" t="s">
        <v>8</v>
      </c>
      <c r="B15" s="7" t="s">
        <v>22</v>
      </c>
      <c r="C15" s="7" t="s">
        <v>10</v>
      </c>
      <c r="D15" s="7">
        <v>3.0</v>
      </c>
    </row>
    <row r="16">
      <c r="A16" s="6" t="s">
        <v>8</v>
      </c>
      <c r="B16" s="7" t="s">
        <v>23</v>
      </c>
      <c r="C16" s="7" t="s">
        <v>10</v>
      </c>
      <c r="D16" s="7">
        <v>3.0</v>
      </c>
    </row>
    <row r="17">
      <c r="A17" s="6" t="s">
        <v>8</v>
      </c>
      <c r="B17" s="7" t="s">
        <v>24</v>
      </c>
      <c r="C17" s="7" t="s">
        <v>10</v>
      </c>
      <c r="D17" s="7">
        <v>3.0</v>
      </c>
    </row>
    <row r="18">
      <c r="A18" s="7" t="s">
        <v>25</v>
      </c>
      <c r="B18" s="7" t="s">
        <v>26</v>
      </c>
      <c r="C18" s="7" t="s">
        <v>10</v>
      </c>
      <c r="D18" s="7">
        <v>3.0</v>
      </c>
    </row>
    <row r="19">
      <c r="A19" s="7" t="s">
        <v>25</v>
      </c>
      <c r="B19" s="7" t="s">
        <v>27</v>
      </c>
      <c r="C19" s="7" t="s">
        <v>10</v>
      </c>
      <c r="D19" s="7">
        <v>8.0</v>
      </c>
    </row>
    <row r="20">
      <c r="A20" s="7" t="s">
        <v>25</v>
      </c>
      <c r="B20" s="7" t="s">
        <v>28</v>
      </c>
      <c r="C20" s="7" t="s">
        <v>10</v>
      </c>
      <c r="D20" s="7">
        <v>6.0</v>
      </c>
    </row>
    <row r="21">
      <c r="A21" s="7" t="s">
        <v>25</v>
      </c>
      <c r="B21" s="7" t="s">
        <v>29</v>
      </c>
      <c r="C21" s="7" t="s">
        <v>10</v>
      </c>
      <c r="D21" s="7">
        <v>6.0</v>
      </c>
    </row>
    <row r="22">
      <c r="A22" s="7" t="s">
        <v>25</v>
      </c>
      <c r="B22" s="7" t="s">
        <v>30</v>
      </c>
      <c r="C22" s="7" t="s">
        <v>10</v>
      </c>
      <c r="D22" s="7">
        <v>6.0</v>
      </c>
    </row>
    <row r="23">
      <c r="A23" s="7" t="s">
        <v>25</v>
      </c>
      <c r="B23" s="7" t="s">
        <v>31</v>
      </c>
      <c r="C23" s="7" t="s">
        <v>10</v>
      </c>
      <c r="D23" s="7">
        <v>3.0</v>
      </c>
    </row>
    <row r="24">
      <c r="A24" s="7" t="s">
        <v>25</v>
      </c>
      <c r="B24" s="7" t="s">
        <v>32</v>
      </c>
      <c r="C24" s="7" t="s">
        <v>10</v>
      </c>
      <c r="D24" s="7">
        <v>6.0</v>
      </c>
    </row>
    <row r="25">
      <c r="A25" s="4" t="s">
        <v>33</v>
      </c>
      <c r="B25" s="4" t="s">
        <v>34</v>
      </c>
      <c r="C25" s="4" t="s">
        <v>10</v>
      </c>
      <c r="D25" s="4">
        <v>4.0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7" t="s">
        <v>33</v>
      </c>
      <c r="B26" s="7" t="s">
        <v>35</v>
      </c>
      <c r="C26" s="7" t="s">
        <v>10</v>
      </c>
      <c r="D26" s="7">
        <v>10.0</v>
      </c>
    </row>
    <row r="27">
      <c r="A27" s="7" t="s">
        <v>33</v>
      </c>
      <c r="B27" s="7" t="s">
        <v>36</v>
      </c>
      <c r="C27" s="7" t="s">
        <v>10</v>
      </c>
      <c r="D27" s="7">
        <v>10.0</v>
      </c>
    </row>
    <row r="28">
      <c r="A28" s="7" t="s">
        <v>33</v>
      </c>
      <c r="B28" s="7" t="s">
        <v>37</v>
      </c>
      <c r="C28" s="7" t="s">
        <v>10</v>
      </c>
      <c r="D28" s="7">
        <v>4.0</v>
      </c>
    </row>
    <row r="29">
      <c r="A29" s="4" t="s">
        <v>33</v>
      </c>
      <c r="B29" s="4" t="s">
        <v>38</v>
      </c>
      <c r="C29" s="4" t="s">
        <v>10</v>
      </c>
      <c r="D29" s="4">
        <v>2.0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7" t="s">
        <v>33</v>
      </c>
      <c r="B30" s="7" t="s">
        <v>39</v>
      </c>
      <c r="C30" s="7" t="s">
        <v>10</v>
      </c>
      <c r="D30" s="7">
        <v>2.0</v>
      </c>
    </row>
    <row r="31">
      <c r="A31" s="7" t="s">
        <v>33</v>
      </c>
      <c r="B31" s="7" t="s">
        <v>40</v>
      </c>
      <c r="C31" s="7" t="s">
        <v>10</v>
      </c>
      <c r="D31" s="7">
        <v>4.0</v>
      </c>
    </row>
    <row r="32">
      <c r="A32" s="7" t="s">
        <v>33</v>
      </c>
      <c r="B32" s="7" t="s">
        <v>41</v>
      </c>
      <c r="C32" s="7" t="s">
        <v>10</v>
      </c>
      <c r="D32" s="7">
        <v>4.0</v>
      </c>
    </row>
    <row r="33">
      <c r="A33" s="7" t="s">
        <v>33</v>
      </c>
      <c r="B33" s="7" t="s">
        <v>42</v>
      </c>
      <c r="C33" s="7" t="s">
        <v>10</v>
      </c>
      <c r="D33" s="7">
        <v>4.0</v>
      </c>
    </row>
    <row r="34">
      <c r="A34" s="7" t="s">
        <v>33</v>
      </c>
      <c r="B34" s="7" t="s">
        <v>43</v>
      </c>
      <c r="C34" s="7" t="s">
        <v>10</v>
      </c>
      <c r="D34" s="7">
        <v>2.0</v>
      </c>
    </row>
    <row r="35">
      <c r="A35" s="7" t="s">
        <v>33</v>
      </c>
      <c r="B35" s="7" t="s">
        <v>44</v>
      </c>
      <c r="C35" s="7" t="s">
        <v>10</v>
      </c>
      <c r="D35" s="7">
        <v>4.0</v>
      </c>
    </row>
    <row r="36">
      <c r="A36" s="7" t="s">
        <v>33</v>
      </c>
      <c r="B36" s="7" t="s">
        <v>45</v>
      </c>
      <c r="C36" s="7" t="s">
        <v>10</v>
      </c>
      <c r="D36" s="7">
        <v>4.0</v>
      </c>
    </row>
    <row r="37">
      <c r="A37" s="7" t="s">
        <v>33</v>
      </c>
      <c r="B37" s="7" t="s">
        <v>46</v>
      </c>
      <c r="C37" s="7" t="s">
        <v>10</v>
      </c>
      <c r="D37" s="7">
        <v>4.0</v>
      </c>
    </row>
    <row r="38">
      <c r="A38" s="7" t="s">
        <v>33</v>
      </c>
      <c r="B38" s="7" t="s">
        <v>47</v>
      </c>
      <c r="C38" s="7" t="s">
        <v>10</v>
      </c>
      <c r="D38" s="7">
        <v>4.0</v>
      </c>
    </row>
    <row r="39">
      <c r="A39" s="4" t="s">
        <v>33</v>
      </c>
      <c r="B39" s="4" t="s">
        <v>48</v>
      </c>
      <c r="C39" s="4" t="s">
        <v>10</v>
      </c>
      <c r="D39" s="4">
        <v>4.0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7" t="s">
        <v>33</v>
      </c>
      <c r="B40" s="7" t="s">
        <v>49</v>
      </c>
      <c r="C40" s="7" t="s">
        <v>10</v>
      </c>
      <c r="D40" s="7">
        <v>4.0</v>
      </c>
    </row>
    <row r="41">
      <c r="A41" s="7" t="s">
        <v>33</v>
      </c>
      <c r="B41" s="7" t="s">
        <v>50</v>
      </c>
      <c r="C41" s="7" t="s">
        <v>10</v>
      </c>
      <c r="D41" s="7">
        <v>5.0</v>
      </c>
    </row>
    <row r="42">
      <c r="A42" s="7" t="s">
        <v>33</v>
      </c>
      <c r="B42" s="7" t="s">
        <v>51</v>
      </c>
      <c r="C42" s="7" t="s">
        <v>10</v>
      </c>
      <c r="D42" s="7">
        <v>4.0</v>
      </c>
    </row>
    <row r="43">
      <c r="A43" s="7" t="s">
        <v>33</v>
      </c>
      <c r="B43" s="7" t="s">
        <v>52</v>
      </c>
      <c r="C43" s="7" t="s">
        <v>10</v>
      </c>
      <c r="D43" s="7">
        <v>1.0</v>
      </c>
    </row>
    <row r="44">
      <c r="A44" s="7" t="s">
        <v>33</v>
      </c>
      <c r="B44" s="7" t="s">
        <v>53</v>
      </c>
      <c r="C44" s="7" t="s">
        <v>10</v>
      </c>
      <c r="D44" s="7">
        <v>4.0</v>
      </c>
    </row>
    <row r="45">
      <c r="A45" s="7" t="s">
        <v>33</v>
      </c>
      <c r="B45" s="7" t="s">
        <v>54</v>
      </c>
      <c r="C45" s="7" t="s">
        <v>10</v>
      </c>
      <c r="D45" s="7">
        <v>2.0</v>
      </c>
    </row>
    <row r="46">
      <c r="A46" s="7" t="s">
        <v>33</v>
      </c>
      <c r="B46" s="7" t="s">
        <v>55</v>
      </c>
      <c r="C46" s="7" t="s">
        <v>10</v>
      </c>
      <c r="D46" s="7">
        <v>5.0</v>
      </c>
    </row>
    <row r="47">
      <c r="A47" s="9" t="s">
        <v>56</v>
      </c>
      <c r="B47" s="4" t="s">
        <v>57</v>
      </c>
      <c r="C47" s="4" t="s">
        <v>10</v>
      </c>
      <c r="D47" s="4">
        <v>4.0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10" t="s">
        <v>56</v>
      </c>
      <c r="B48" s="7" t="s">
        <v>58</v>
      </c>
      <c r="C48" s="7" t="s">
        <v>10</v>
      </c>
      <c r="D48" s="7">
        <v>4.0</v>
      </c>
    </row>
    <row r="49">
      <c r="A49" s="10" t="s">
        <v>56</v>
      </c>
      <c r="B49" s="7" t="s">
        <v>59</v>
      </c>
      <c r="C49" s="7" t="s">
        <v>10</v>
      </c>
      <c r="D49" s="7">
        <v>7.0</v>
      </c>
    </row>
    <row r="50">
      <c r="A50" s="10" t="s">
        <v>56</v>
      </c>
      <c r="B50" s="7" t="s">
        <v>60</v>
      </c>
      <c r="C50" s="7" t="s">
        <v>10</v>
      </c>
      <c r="D50" s="7">
        <v>10.0</v>
      </c>
    </row>
    <row r="51">
      <c r="A51" s="10" t="s">
        <v>56</v>
      </c>
      <c r="B51" s="7" t="s">
        <v>61</v>
      </c>
      <c r="C51" s="7" t="s">
        <v>10</v>
      </c>
      <c r="D51" s="7">
        <v>10.0</v>
      </c>
    </row>
    <row r="52">
      <c r="A52" s="10" t="s">
        <v>56</v>
      </c>
      <c r="B52" s="7" t="s">
        <v>62</v>
      </c>
      <c r="C52" s="7" t="s">
        <v>10</v>
      </c>
      <c r="D52" s="7">
        <v>10.0</v>
      </c>
    </row>
    <row r="53">
      <c r="A53" s="10" t="s">
        <v>56</v>
      </c>
      <c r="B53" s="7" t="s">
        <v>63</v>
      </c>
      <c r="C53" s="7" t="s">
        <v>10</v>
      </c>
      <c r="D53" s="7">
        <v>5.0</v>
      </c>
    </row>
    <row r="54">
      <c r="A54" s="10" t="s">
        <v>56</v>
      </c>
      <c r="B54" s="7" t="s">
        <v>64</v>
      </c>
      <c r="C54" s="7" t="s">
        <v>10</v>
      </c>
      <c r="D54" s="7">
        <v>5.0</v>
      </c>
    </row>
    <row r="55">
      <c r="A55" s="10" t="s">
        <v>56</v>
      </c>
      <c r="B55" s="7" t="s">
        <v>65</v>
      </c>
      <c r="C55" s="7" t="s">
        <v>10</v>
      </c>
      <c r="D55" s="7">
        <v>10.0</v>
      </c>
    </row>
    <row r="56">
      <c r="A56" s="10" t="s">
        <v>56</v>
      </c>
      <c r="B56" s="7" t="s">
        <v>66</v>
      </c>
      <c r="C56" s="7" t="s">
        <v>10</v>
      </c>
      <c r="D56" s="7">
        <v>7.0</v>
      </c>
    </row>
    <row r="57">
      <c r="A57" s="10" t="s">
        <v>56</v>
      </c>
      <c r="B57" s="7" t="s">
        <v>67</v>
      </c>
      <c r="C57" s="7" t="s">
        <v>10</v>
      </c>
      <c r="D57" s="7">
        <v>10.0</v>
      </c>
    </row>
    <row r="58">
      <c r="A58" s="7" t="s">
        <v>68</v>
      </c>
      <c r="B58" s="7" t="s">
        <v>69</v>
      </c>
      <c r="C58" s="7" t="s">
        <v>10</v>
      </c>
      <c r="D58" s="7">
        <v>10.0</v>
      </c>
    </row>
    <row r="59">
      <c r="A59" s="7" t="s">
        <v>68</v>
      </c>
      <c r="B59" s="7" t="s">
        <v>70</v>
      </c>
      <c r="C59" s="7" t="s">
        <v>10</v>
      </c>
      <c r="D59" s="7">
        <v>3.0</v>
      </c>
    </row>
    <row r="60">
      <c r="A60" s="7" t="s">
        <v>68</v>
      </c>
      <c r="B60" s="7" t="s">
        <v>71</v>
      </c>
      <c r="C60" s="7" t="s">
        <v>10</v>
      </c>
      <c r="D60" s="7">
        <v>3.0</v>
      </c>
    </row>
    <row r="61">
      <c r="A61" s="7" t="s">
        <v>68</v>
      </c>
      <c r="B61" s="7" t="s">
        <v>72</v>
      </c>
      <c r="C61" s="7" t="s">
        <v>10</v>
      </c>
      <c r="D61" s="7">
        <v>3.0</v>
      </c>
    </row>
    <row r="62">
      <c r="A62" s="7" t="s">
        <v>68</v>
      </c>
      <c r="B62" s="7" t="s">
        <v>73</v>
      </c>
      <c r="C62" s="7" t="s">
        <v>10</v>
      </c>
      <c r="D62" s="7">
        <v>3.0</v>
      </c>
    </row>
    <row r="63">
      <c r="A63" s="7" t="s">
        <v>68</v>
      </c>
      <c r="B63" s="7" t="s">
        <v>74</v>
      </c>
      <c r="C63" s="7" t="s">
        <v>10</v>
      </c>
      <c r="D63" s="7">
        <v>3.0</v>
      </c>
    </row>
    <row r="64">
      <c r="A64" s="7" t="s">
        <v>68</v>
      </c>
      <c r="B64" s="7" t="s">
        <v>75</v>
      </c>
      <c r="C64" s="7" t="s">
        <v>10</v>
      </c>
      <c r="D64" s="7">
        <v>3.0</v>
      </c>
    </row>
    <row r="65">
      <c r="A65" s="7" t="s">
        <v>68</v>
      </c>
      <c r="B65" s="7" t="s">
        <v>76</v>
      </c>
      <c r="C65" s="7" t="s">
        <v>10</v>
      </c>
      <c r="D65" s="7">
        <v>3.0</v>
      </c>
    </row>
    <row r="66">
      <c r="A66" s="7" t="s">
        <v>68</v>
      </c>
      <c r="B66" s="7" t="s">
        <v>77</v>
      </c>
      <c r="C66" s="7" t="s">
        <v>10</v>
      </c>
      <c r="D66" s="7">
        <v>3.0</v>
      </c>
    </row>
    <row r="67">
      <c r="A67" s="7" t="s">
        <v>68</v>
      </c>
      <c r="B67" s="7" t="s">
        <v>78</v>
      </c>
      <c r="C67" s="7" t="s">
        <v>10</v>
      </c>
      <c r="D67" s="7">
        <v>3.0</v>
      </c>
    </row>
    <row r="68">
      <c r="A68" s="11" t="s">
        <v>79</v>
      </c>
      <c r="B68" s="4" t="s">
        <v>80</v>
      </c>
      <c r="C68" s="4" t="s">
        <v>10</v>
      </c>
      <c r="D68" s="4">
        <v>3.0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12" t="s">
        <v>79</v>
      </c>
      <c r="B69" s="7" t="s">
        <v>81</v>
      </c>
      <c r="C69" s="7" t="s">
        <v>10</v>
      </c>
      <c r="D69" s="7">
        <v>3.0</v>
      </c>
    </row>
    <row r="70">
      <c r="A70" s="12" t="s">
        <v>79</v>
      </c>
      <c r="B70" s="7" t="s">
        <v>82</v>
      </c>
      <c r="C70" s="7" t="s">
        <v>10</v>
      </c>
      <c r="D70" s="7">
        <v>3.0</v>
      </c>
    </row>
    <row r="71">
      <c r="A71" s="12" t="s">
        <v>79</v>
      </c>
      <c r="B71" s="7" t="s">
        <v>83</v>
      </c>
      <c r="C71" s="7" t="s">
        <v>10</v>
      </c>
      <c r="D71" s="7">
        <v>4.0</v>
      </c>
    </row>
    <row r="72">
      <c r="A72" s="4" t="s">
        <v>84</v>
      </c>
      <c r="B72" s="4" t="s">
        <v>85</v>
      </c>
      <c r="C72" s="4" t="s">
        <v>10</v>
      </c>
      <c r="D72" s="4">
        <v>4.0</v>
      </c>
      <c r="E72" s="1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4" t="s">
        <v>86</v>
      </c>
      <c r="B73" s="4" t="s">
        <v>87</v>
      </c>
      <c r="C73" s="4" t="s">
        <v>10</v>
      </c>
      <c r="D73" s="4">
        <v>4.0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4" t="s">
        <v>88</v>
      </c>
      <c r="B74" s="4" t="s">
        <v>89</v>
      </c>
      <c r="C74" s="4" t="s">
        <v>10</v>
      </c>
      <c r="D74" s="4">
        <v>6.0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7" t="s">
        <v>88</v>
      </c>
      <c r="B75" s="7" t="s">
        <v>90</v>
      </c>
      <c r="C75" s="7" t="s">
        <v>10</v>
      </c>
      <c r="D75" s="7">
        <v>3.0</v>
      </c>
    </row>
    <row r="76">
      <c r="A76" s="7" t="s">
        <v>88</v>
      </c>
      <c r="B76" s="7" t="s">
        <v>91</v>
      </c>
      <c r="C76" s="7" t="s">
        <v>92</v>
      </c>
      <c r="D76" s="7">
        <v>6.0</v>
      </c>
    </row>
    <row r="77">
      <c r="A77" s="7" t="s">
        <v>88</v>
      </c>
      <c r="B77" s="7" t="s">
        <v>93</v>
      </c>
      <c r="C77" s="7" t="s">
        <v>10</v>
      </c>
      <c r="D77" s="7">
        <v>3.0</v>
      </c>
    </row>
    <row r="78">
      <c r="A78" s="7" t="s">
        <v>88</v>
      </c>
      <c r="B78" s="7" t="s">
        <v>94</v>
      </c>
      <c r="C78" s="7" t="s">
        <v>10</v>
      </c>
      <c r="D78" s="7">
        <v>3.0</v>
      </c>
    </row>
    <row r="79">
      <c r="A79" s="7" t="s">
        <v>88</v>
      </c>
      <c r="B79" s="7" t="s">
        <v>95</v>
      </c>
      <c r="C79" s="7" t="s">
        <v>10</v>
      </c>
      <c r="D79" s="7">
        <v>6.0</v>
      </c>
    </row>
    <row r="80">
      <c r="A80" s="7" t="s">
        <v>88</v>
      </c>
      <c r="B80" s="7" t="s">
        <v>96</v>
      </c>
      <c r="C80" s="7" t="s">
        <v>10</v>
      </c>
      <c r="D80" s="7">
        <v>3.0</v>
      </c>
    </row>
    <row r="81">
      <c r="A81" s="7" t="s">
        <v>88</v>
      </c>
      <c r="B81" s="7" t="s">
        <v>97</v>
      </c>
      <c r="C81" s="7" t="s">
        <v>10</v>
      </c>
      <c r="D81" s="7">
        <v>3.0</v>
      </c>
    </row>
    <row r="82">
      <c r="A82" s="7" t="s">
        <v>88</v>
      </c>
      <c r="B82" s="7" t="s">
        <v>98</v>
      </c>
      <c r="C82" s="7" t="s">
        <v>10</v>
      </c>
      <c r="D82" s="7">
        <v>3.0</v>
      </c>
    </row>
    <row r="83">
      <c r="A83" s="7" t="s">
        <v>88</v>
      </c>
      <c r="B83" s="7" t="s">
        <v>99</v>
      </c>
      <c r="C83" s="7" t="s">
        <v>10</v>
      </c>
      <c r="D83" s="7">
        <v>6.0</v>
      </c>
    </row>
    <row r="84">
      <c r="A84" s="7" t="s">
        <v>88</v>
      </c>
      <c r="B84" s="7" t="s">
        <v>100</v>
      </c>
      <c r="C84" s="7" t="s">
        <v>10</v>
      </c>
      <c r="D84" s="7">
        <v>6.0</v>
      </c>
    </row>
    <row r="85">
      <c r="A85" s="7" t="s">
        <v>88</v>
      </c>
      <c r="B85" s="7" t="s">
        <v>101</v>
      </c>
      <c r="C85" s="7" t="s">
        <v>10</v>
      </c>
      <c r="D85" s="7">
        <v>3.0</v>
      </c>
    </row>
    <row r="86">
      <c r="A86" s="7" t="s">
        <v>88</v>
      </c>
      <c r="B86" s="7" t="s">
        <v>102</v>
      </c>
      <c r="C86" s="7" t="s">
        <v>10</v>
      </c>
      <c r="D86" s="7">
        <v>6.0</v>
      </c>
    </row>
    <row r="87">
      <c r="A87" s="4" t="s">
        <v>103</v>
      </c>
      <c r="B87" s="4" t="s">
        <v>104</v>
      </c>
      <c r="C87" s="4" t="s">
        <v>10</v>
      </c>
      <c r="D87" s="4">
        <v>8.0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7" t="s">
        <v>103</v>
      </c>
      <c r="B88" s="7" t="s">
        <v>105</v>
      </c>
      <c r="C88" s="7" t="s">
        <v>10</v>
      </c>
      <c r="D88" s="7">
        <v>8.0</v>
      </c>
    </row>
    <row r="89">
      <c r="A89" s="7" t="s">
        <v>103</v>
      </c>
      <c r="B89" s="7" t="s">
        <v>106</v>
      </c>
      <c r="C89" s="7" t="s">
        <v>10</v>
      </c>
      <c r="D89" s="7">
        <v>6.0</v>
      </c>
    </row>
    <row r="90">
      <c r="A90" s="7" t="s">
        <v>103</v>
      </c>
      <c r="B90" s="7" t="s">
        <v>107</v>
      </c>
      <c r="C90" s="7" t="s">
        <v>10</v>
      </c>
      <c r="D90" s="7">
        <v>8.0</v>
      </c>
    </row>
    <row r="91">
      <c r="A91" s="7" t="s">
        <v>103</v>
      </c>
      <c r="B91" s="7" t="s">
        <v>108</v>
      </c>
      <c r="C91" s="7" t="s">
        <v>10</v>
      </c>
      <c r="D91" s="7">
        <v>8.0</v>
      </c>
    </row>
    <row r="92">
      <c r="A92" s="7" t="s">
        <v>103</v>
      </c>
      <c r="B92" s="7" t="s">
        <v>109</v>
      </c>
      <c r="C92" s="7" t="s">
        <v>10</v>
      </c>
      <c r="D92" s="7">
        <v>8.0</v>
      </c>
    </row>
    <row r="93">
      <c r="A93" s="7" t="s">
        <v>103</v>
      </c>
      <c r="B93" s="7" t="s">
        <v>110</v>
      </c>
      <c r="C93" s="7" t="s">
        <v>10</v>
      </c>
      <c r="D93" s="7">
        <v>8.0</v>
      </c>
    </row>
    <row r="94">
      <c r="A94" s="7" t="s">
        <v>103</v>
      </c>
      <c r="B94" s="7" t="s">
        <v>111</v>
      </c>
      <c r="C94" s="7" t="s">
        <v>10</v>
      </c>
      <c r="D94" s="7">
        <v>8.0</v>
      </c>
    </row>
    <row r="95">
      <c r="A95" s="7" t="s">
        <v>103</v>
      </c>
      <c r="B95" s="7" t="s">
        <v>112</v>
      </c>
      <c r="C95" s="7" t="s">
        <v>10</v>
      </c>
      <c r="D95" s="7">
        <v>6.0</v>
      </c>
    </row>
    <row r="96">
      <c r="A96" s="4" t="s">
        <v>113</v>
      </c>
      <c r="B96" s="11" t="s">
        <v>113</v>
      </c>
      <c r="C96" s="4" t="s">
        <v>114</v>
      </c>
      <c r="D96" s="4">
        <v>1.0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7" t="s">
        <v>115</v>
      </c>
      <c r="B97" s="7" t="s">
        <v>116</v>
      </c>
      <c r="C97" s="7" t="s">
        <v>10</v>
      </c>
      <c r="D97" s="7">
        <v>10.0</v>
      </c>
    </row>
    <row r="98">
      <c r="A98" s="7" t="s">
        <v>115</v>
      </c>
      <c r="B98" s="7" t="s">
        <v>117</v>
      </c>
      <c r="C98" s="7" t="s">
        <v>10</v>
      </c>
      <c r="D98" s="7">
        <v>10.0</v>
      </c>
    </row>
    <row r="99">
      <c r="A99" s="7" t="s">
        <v>115</v>
      </c>
      <c r="B99" s="7" t="s">
        <v>118</v>
      </c>
      <c r="C99" s="7" t="s">
        <v>10</v>
      </c>
      <c r="D99" s="7">
        <v>10.0</v>
      </c>
    </row>
    <row r="100">
      <c r="A100" s="7" t="s">
        <v>115</v>
      </c>
      <c r="B100" s="7" t="s">
        <v>119</v>
      </c>
      <c r="C100" s="7" t="s">
        <v>10</v>
      </c>
      <c r="D100" s="7">
        <v>7.0</v>
      </c>
    </row>
    <row r="101">
      <c r="A101" s="7" t="s">
        <v>115</v>
      </c>
      <c r="B101" s="7" t="s">
        <v>120</v>
      </c>
      <c r="C101" s="7" t="s">
        <v>10</v>
      </c>
      <c r="D101" s="7">
        <v>10.0</v>
      </c>
    </row>
    <row r="102">
      <c r="A102" s="7" t="s">
        <v>115</v>
      </c>
      <c r="B102" s="7" t="s">
        <v>121</v>
      </c>
      <c r="C102" s="7" t="s">
        <v>10</v>
      </c>
      <c r="D102" s="7">
        <v>10.0</v>
      </c>
    </row>
    <row r="103">
      <c r="A103" s="7" t="s">
        <v>115</v>
      </c>
      <c r="B103" s="7" t="s">
        <v>122</v>
      </c>
      <c r="C103" s="7" t="s">
        <v>10</v>
      </c>
      <c r="D103" s="7">
        <v>10.0</v>
      </c>
    </row>
    <row r="104">
      <c r="A104" s="7" t="s">
        <v>123</v>
      </c>
      <c r="B104" s="7" t="s">
        <v>124</v>
      </c>
      <c r="C104" s="7" t="s">
        <v>10</v>
      </c>
      <c r="D104" s="7">
        <v>10.0</v>
      </c>
    </row>
    <row r="105">
      <c r="A105" s="7" t="s">
        <v>123</v>
      </c>
      <c r="B105" s="7" t="s">
        <v>125</v>
      </c>
      <c r="C105" s="7" t="s">
        <v>10</v>
      </c>
      <c r="D105" s="7">
        <v>10.0</v>
      </c>
    </row>
    <row r="106">
      <c r="A106" s="7" t="s">
        <v>123</v>
      </c>
      <c r="B106" s="7" t="s">
        <v>126</v>
      </c>
      <c r="C106" s="7" t="s">
        <v>10</v>
      </c>
      <c r="D106" s="7">
        <v>10.0</v>
      </c>
    </row>
    <row r="107">
      <c r="A107" s="7" t="s">
        <v>123</v>
      </c>
      <c r="B107" s="7" t="s">
        <v>127</v>
      </c>
      <c r="C107" s="7" t="s">
        <v>10</v>
      </c>
      <c r="D107" s="7">
        <v>7.0</v>
      </c>
    </row>
    <row r="108">
      <c r="A108" s="7" t="s">
        <v>123</v>
      </c>
      <c r="B108" s="7" t="s">
        <v>128</v>
      </c>
      <c r="C108" s="7" t="s">
        <v>10</v>
      </c>
      <c r="D108" s="7">
        <v>8.0</v>
      </c>
    </row>
    <row r="109">
      <c r="A109" s="7" t="s">
        <v>123</v>
      </c>
      <c r="B109" s="7" t="s">
        <v>129</v>
      </c>
      <c r="C109" s="7" t="s">
        <v>10</v>
      </c>
      <c r="D109" s="7">
        <v>10.0</v>
      </c>
    </row>
    <row r="110">
      <c r="A110" s="7" t="s">
        <v>123</v>
      </c>
      <c r="B110" s="7" t="s">
        <v>130</v>
      </c>
      <c r="C110" s="7" t="s">
        <v>10</v>
      </c>
      <c r="D110" s="7">
        <v>5.0</v>
      </c>
    </row>
    <row r="111">
      <c r="A111" s="7" t="s">
        <v>123</v>
      </c>
      <c r="B111" s="7" t="s">
        <v>131</v>
      </c>
      <c r="C111" s="7" t="s">
        <v>10</v>
      </c>
      <c r="D111" s="7">
        <v>6.0</v>
      </c>
    </row>
    <row r="112">
      <c r="A112" s="7" t="s">
        <v>123</v>
      </c>
      <c r="B112" s="7" t="s">
        <v>132</v>
      </c>
      <c r="C112" s="7" t="s">
        <v>10</v>
      </c>
      <c r="D112" s="7">
        <v>10.0</v>
      </c>
    </row>
    <row r="113">
      <c r="A113" s="7" t="s">
        <v>123</v>
      </c>
      <c r="B113" s="7" t="s">
        <v>133</v>
      </c>
      <c r="C113" s="7" t="s">
        <v>10</v>
      </c>
      <c r="D113" s="7">
        <v>10.0</v>
      </c>
    </row>
    <row r="114">
      <c r="A114" s="7" t="s">
        <v>123</v>
      </c>
      <c r="B114" s="7" t="s">
        <v>134</v>
      </c>
      <c r="C114" s="7" t="s">
        <v>10</v>
      </c>
      <c r="D114" s="7">
        <v>7.0</v>
      </c>
    </row>
    <row r="115">
      <c r="A115" s="7" t="s">
        <v>123</v>
      </c>
      <c r="B115" s="7" t="s">
        <v>135</v>
      </c>
      <c r="C115" s="7" t="s">
        <v>10</v>
      </c>
      <c r="D115" s="7">
        <v>10.0</v>
      </c>
    </row>
    <row r="116">
      <c r="A116" s="7" t="s">
        <v>123</v>
      </c>
      <c r="B116" s="7" t="s">
        <v>136</v>
      </c>
      <c r="C116" s="7" t="s">
        <v>10</v>
      </c>
      <c r="D116" s="7">
        <v>10.0</v>
      </c>
    </row>
    <row r="117">
      <c r="A117" s="7" t="s">
        <v>123</v>
      </c>
      <c r="B117" s="7" t="s">
        <v>137</v>
      </c>
      <c r="C117" s="7" t="s">
        <v>10</v>
      </c>
      <c r="D117" s="7">
        <v>8.0</v>
      </c>
    </row>
    <row r="118">
      <c r="A118" s="7" t="s">
        <v>123</v>
      </c>
      <c r="B118" s="7" t="s">
        <v>138</v>
      </c>
      <c r="C118" s="7" t="s">
        <v>10</v>
      </c>
      <c r="D118" s="7">
        <v>10.0</v>
      </c>
    </row>
    <row r="119">
      <c r="A119" s="7" t="s">
        <v>123</v>
      </c>
      <c r="B119" s="7" t="s">
        <v>139</v>
      </c>
      <c r="C119" s="7" t="s">
        <v>10</v>
      </c>
      <c r="D119" s="7">
        <v>7.0</v>
      </c>
    </row>
    <row r="120">
      <c r="A120" s="7" t="s">
        <v>123</v>
      </c>
      <c r="B120" s="7" t="s">
        <v>140</v>
      </c>
      <c r="C120" s="7" t="s">
        <v>10</v>
      </c>
      <c r="D120" s="7">
        <v>8.0</v>
      </c>
    </row>
    <row r="121">
      <c r="A121" s="7" t="s">
        <v>123</v>
      </c>
      <c r="B121" s="7" t="s">
        <v>141</v>
      </c>
      <c r="C121" s="7" t="s">
        <v>10</v>
      </c>
      <c r="D121" s="7">
        <v>7.0</v>
      </c>
    </row>
    <row r="122">
      <c r="A122" s="7" t="s">
        <v>123</v>
      </c>
      <c r="B122" s="7" t="s">
        <v>142</v>
      </c>
      <c r="C122" s="7" t="s">
        <v>10</v>
      </c>
      <c r="D122" s="7">
        <v>10.0</v>
      </c>
    </row>
    <row r="123">
      <c r="A123" s="7" t="s">
        <v>123</v>
      </c>
      <c r="B123" s="7" t="s">
        <v>143</v>
      </c>
      <c r="C123" s="7" t="s">
        <v>10</v>
      </c>
      <c r="D123" s="7">
        <v>10.0</v>
      </c>
    </row>
    <row r="124">
      <c r="A124" s="4" t="s">
        <v>144</v>
      </c>
      <c r="B124" s="4" t="s">
        <v>145</v>
      </c>
      <c r="C124" s="4" t="s">
        <v>10</v>
      </c>
      <c r="D124" s="4">
        <v>5.0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7" t="s">
        <v>144</v>
      </c>
      <c r="B125" s="7" t="s">
        <v>146</v>
      </c>
      <c r="C125" s="7" t="s">
        <v>10</v>
      </c>
      <c r="D125" s="7">
        <v>5.0</v>
      </c>
    </row>
    <row r="126">
      <c r="A126" s="7" t="s">
        <v>144</v>
      </c>
      <c r="B126" s="7" t="s">
        <v>147</v>
      </c>
      <c r="C126" s="7" t="s">
        <v>10</v>
      </c>
      <c r="D126" s="7">
        <v>5.0</v>
      </c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1</v>
      </c>
      <c r="B1" s="1" t="s">
        <v>2</v>
      </c>
      <c r="C1" s="14" t="s">
        <v>148</v>
      </c>
    </row>
    <row r="2">
      <c r="A2" s="7" t="s">
        <v>6</v>
      </c>
      <c r="B2" s="7" t="s">
        <v>7</v>
      </c>
      <c r="C2" s="14" t="s">
        <v>149</v>
      </c>
    </row>
    <row r="3">
      <c r="A3" s="7" t="s">
        <v>9</v>
      </c>
      <c r="B3" s="7" t="s">
        <v>10</v>
      </c>
      <c r="C3" s="14" t="s">
        <v>150</v>
      </c>
    </row>
    <row r="4">
      <c r="A4" s="7" t="s">
        <v>11</v>
      </c>
      <c r="B4" s="7" t="s">
        <v>10</v>
      </c>
      <c r="C4" s="14" t="s">
        <v>149</v>
      </c>
    </row>
    <row r="5">
      <c r="A5" s="7" t="s">
        <v>12</v>
      </c>
      <c r="B5" s="7" t="s">
        <v>10</v>
      </c>
      <c r="C5" s="14" t="s">
        <v>150</v>
      </c>
    </row>
    <row r="6">
      <c r="A6" s="7" t="s">
        <v>13</v>
      </c>
      <c r="B6" s="7" t="s">
        <v>10</v>
      </c>
      <c r="C6" s="14" t="s">
        <v>150</v>
      </c>
    </row>
    <row r="7">
      <c r="A7" s="7" t="s">
        <v>14</v>
      </c>
      <c r="B7" s="7" t="s">
        <v>10</v>
      </c>
      <c r="C7" s="14" t="s">
        <v>150</v>
      </c>
    </row>
    <row r="8">
      <c r="A8" s="7" t="s">
        <v>15</v>
      </c>
      <c r="B8" s="7" t="s">
        <v>10</v>
      </c>
      <c r="C8" s="14" t="s">
        <v>150</v>
      </c>
    </row>
    <row r="9">
      <c r="A9" s="7" t="s">
        <v>16</v>
      </c>
      <c r="B9" s="7" t="s">
        <v>10</v>
      </c>
      <c r="C9" s="14" t="s">
        <v>150</v>
      </c>
    </row>
    <row r="10">
      <c r="A10" s="7" t="s">
        <v>17</v>
      </c>
      <c r="B10" s="7" t="s">
        <v>10</v>
      </c>
      <c r="C10" s="14" t="s">
        <v>150</v>
      </c>
    </row>
    <row r="11">
      <c r="A11" s="7" t="s">
        <v>18</v>
      </c>
      <c r="B11" s="7" t="s">
        <v>10</v>
      </c>
      <c r="C11" s="14" t="s">
        <v>150</v>
      </c>
    </row>
    <row r="12">
      <c r="A12" s="7" t="s">
        <v>19</v>
      </c>
      <c r="B12" s="7" t="s">
        <v>10</v>
      </c>
      <c r="C12" s="14" t="s">
        <v>150</v>
      </c>
    </row>
    <row r="13">
      <c r="A13" s="7" t="s">
        <v>20</v>
      </c>
      <c r="B13" s="7" t="s">
        <v>10</v>
      </c>
      <c r="C13" s="14" t="s">
        <v>150</v>
      </c>
    </row>
    <row r="14">
      <c r="A14" s="7" t="s">
        <v>21</v>
      </c>
      <c r="B14" s="7" t="s">
        <v>10</v>
      </c>
      <c r="C14" s="14" t="s">
        <v>150</v>
      </c>
    </row>
    <row r="15">
      <c r="A15" s="7" t="s">
        <v>22</v>
      </c>
      <c r="B15" s="7" t="s">
        <v>10</v>
      </c>
      <c r="C15" s="14" t="s">
        <v>150</v>
      </c>
    </row>
    <row r="16">
      <c r="A16" s="7" t="s">
        <v>23</v>
      </c>
      <c r="B16" s="7" t="s">
        <v>10</v>
      </c>
      <c r="C16" s="14" t="s">
        <v>150</v>
      </c>
    </row>
    <row r="17">
      <c r="A17" s="7" t="s">
        <v>24</v>
      </c>
      <c r="B17" s="7" t="s">
        <v>10</v>
      </c>
      <c r="C17" s="14" t="s">
        <v>150</v>
      </c>
    </row>
    <row r="18">
      <c r="A18" s="7" t="s">
        <v>26</v>
      </c>
      <c r="B18" s="7" t="s">
        <v>10</v>
      </c>
      <c r="C18" s="14" t="s">
        <v>150</v>
      </c>
    </row>
    <row r="19">
      <c r="A19" s="7" t="s">
        <v>27</v>
      </c>
      <c r="B19" s="7" t="s">
        <v>10</v>
      </c>
      <c r="C19" s="14" t="s">
        <v>150</v>
      </c>
    </row>
    <row r="20">
      <c r="A20" s="7" t="s">
        <v>28</v>
      </c>
      <c r="B20" s="7" t="s">
        <v>10</v>
      </c>
      <c r="C20" s="14" t="s">
        <v>150</v>
      </c>
    </row>
    <row r="21">
      <c r="A21" s="7" t="s">
        <v>29</v>
      </c>
      <c r="B21" s="7" t="s">
        <v>10</v>
      </c>
      <c r="C21" s="14" t="s">
        <v>150</v>
      </c>
    </row>
    <row r="22">
      <c r="A22" s="7" t="s">
        <v>30</v>
      </c>
      <c r="B22" s="7" t="s">
        <v>10</v>
      </c>
      <c r="C22" s="14" t="s">
        <v>150</v>
      </c>
    </row>
    <row r="23">
      <c r="A23" s="7" t="s">
        <v>31</v>
      </c>
      <c r="B23" s="7" t="s">
        <v>10</v>
      </c>
      <c r="C23" s="14" t="s">
        <v>149</v>
      </c>
    </row>
    <row r="24">
      <c r="A24" s="7" t="s">
        <v>32</v>
      </c>
      <c r="B24" s="7" t="s">
        <v>10</v>
      </c>
      <c r="C24" s="14" t="s">
        <v>150</v>
      </c>
    </row>
    <row r="25">
      <c r="A25" s="7" t="s">
        <v>34</v>
      </c>
      <c r="B25" s="7" t="s">
        <v>10</v>
      </c>
      <c r="C25" s="14" t="s">
        <v>150</v>
      </c>
    </row>
    <row r="26">
      <c r="A26" s="7" t="s">
        <v>35</v>
      </c>
      <c r="B26" s="7" t="s">
        <v>10</v>
      </c>
      <c r="C26" s="14" t="s">
        <v>150</v>
      </c>
    </row>
    <row r="27">
      <c r="A27" s="7" t="s">
        <v>36</v>
      </c>
      <c r="B27" s="7" t="s">
        <v>10</v>
      </c>
      <c r="C27" s="14" t="s">
        <v>150</v>
      </c>
    </row>
    <row r="28">
      <c r="A28" s="7" t="s">
        <v>37</v>
      </c>
      <c r="B28" s="7" t="s">
        <v>10</v>
      </c>
      <c r="C28" s="14" t="s">
        <v>150</v>
      </c>
    </row>
    <row r="29">
      <c r="A29" s="7" t="s">
        <v>38</v>
      </c>
      <c r="B29" s="7" t="s">
        <v>10</v>
      </c>
      <c r="C29" s="14" t="s">
        <v>150</v>
      </c>
    </row>
    <row r="30">
      <c r="A30" s="7" t="s">
        <v>39</v>
      </c>
      <c r="B30" s="7" t="s">
        <v>10</v>
      </c>
      <c r="C30" s="14" t="s">
        <v>150</v>
      </c>
    </row>
    <row r="31">
      <c r="A31" s="7" t="s">
        <v>40</v>
      </c>
      <c r="B31" s="7" t="s">
        <v>10</v>
      </c>
      <c r="C31" s="14" t="s">
        <v>150</v>
      </c>
    </row>
    <row r="32">
      <c r="A32" s="7" t="s">
        <v>41</v>
      </c>
      <c r="B32" s="7" t="s">
        <v>10</v>
      </c>
      <c r="C32" s="14" t="s">
        <v>150</v>
      </c>
    </row>
    <row r="33">
      <c r="A33" s="7" t="s">
        <v>42</v>
      </c>
      <c r="B33" s="7" t="s">
        <v>10</v>
      </c>
      <c r="C33" s="14" t="s">
        <v>150</v>
      </c>
    </row>
    <row r="34">
      <c r="A34" s="7" t="s">
        <v>43</v>
      </c>
      <c r="B34" s="7" t="s">
        <v>10</v>
      </c>
      <c r="C34" s="14" t="s">
        <v>150</v>
      </c>
    </row>
    <row r="35">
      <c r="A35" s="7" t="s">
        <v>44</v>
      </c>
      <c r="B35" s="7" t="s">
        <v>10</v>
      </c>
      <c r="C35" s="14" t="s">
        <v>150</v>
      </c>
    </row>
    <row r="36">
      <c r="A36" s="7" t="s">
        <v>45</v>
      </c>
      <c r="B36" s="7" t="s">
        <v>10</v>
      </c>
      <c r="C36" s="14" t="s">
        <v>150</v>
      </c>
    </row>
    <row r="37">
      <c r="A37" s="7" t="s">
        <v>46</v>
      </c>
      <c r="B37" s="7" t="s">
        <v>10</v>
      </c>
      <c r="C37" s="14" t="s">
        <v>150</v>
      </c>
    </row>
    <row r="38">
      <c r="A38" s="7" t="s">
        <v>47</v>
      </c>
      <c r="B38" s="7" t="s">
        <v>10</v>
      </c>
      <c r="C38" s="14" t="s">
        <v>150</v>
      </c>
    </row>
    <row r="39">
      <c r="A39" s="7" t="s">
        <v>48</v>
      </c>
      <c r="B39" s="7" t="s">
        <v>10</v>
      </c>
      <c r="C39" s="14" t="s">
        <v>150</v>
      </c>
    </row>
    <row r="40">
      <c r="A40" s="7" t="s">
        <v>49</v>
      </c>
      <c r="B40" s="7" t="s">
        <v>10</v>
      </c>
      <c r="C40" s="14" t="s">
        <v>150</v>
      </c>
    </row>
    <row r="41">
      <c r="A41" s="7" t="s">
        <v>50</v>
      </c>
      <c r="B41" s="7" t="s">
        <v>10</v>
      </c>
      <c r="C41" s="14" t="s">
        <v>150</v>
      </c>
    </row>
    <row r="42">
      <c r="A42" s="7" t="s">
        <v>51</v>
      </c>
      <c r="B42" s="7" t="s">
        <v>10</v>
      </c>
      <c r="C42" s="14" t="s">
        <v>150</v>
      </c>
    </row>
    <row r="43">
      <c r="A43" s="7" t="s">
        <v>52</v>
      </c>
      <c r="B43" s="7" t="s">
        <v>10</v>
      </c>
      <c r="C43" s="14" t="s">
        <v>150</v>
      </c>
    </row>
    <row r="44">
      <c r="A44" s="7" t="s">
        <v>53</v>
      </c>
      <c r="B44" s="7" t="s">
        <v>10</v>
      </c>
      <c r="C44" s="14" t="s">
        <v>150</v>
      </c>
    </row>
    <row r="45">
      <c r="A45" s="7" t="s">
        <v>54</v>
      </c>
      <c r="B45" s="7" t="s">
        <v>10</v>
      </c>
      <c r="C45" s="14" t="s">
        <v>150</v>
      </c>
    </row>
    <row r="46">
      <c r="A46" s="7" t="s">
        <v>55</v>
      </c>
      <c r="B46" s="7" t="s">
        <v>10</v>
      </c>
      <c r="C46" s="14" t="s">
        <v>150</v>
      </c>
    </row>
    <row r="47">
      <c r="A47" s="7" t="s">
        <v>57</v>
      </c>
      <c r="B47" s="7" t="s">
        <v>10</v>
      </c>
      <c r="C47" s="14" t="s">
        <v>150</v>
      </c>
    </row>
    <row r="48">
      <c r="A48" s="7" t="s">
        <v>58</v>
      </c>
      <c r="B48" s="7" t="s">
        <v>10</v>
      </c>
      <c r="C48" s="14" t="s">
        <v>150</v>
      </c>
    </row>
    <row r="49">
      <c r="A49" s="7" t="s">
        <v>59</v>
      </c>
      <c r="B49" s="7" t="s">
        <v>10</v>
      </c>
      <c r="C49" s="14" t="s">
        <v>150</v>
      </c>
    </row>
    <row r="50">
      <c r="A50" s="7" t="s">
        <v>60</v>
      </c>
      <c r="B50" s="7" t="s">
        <v>10</v>
      </c>
      <c r="C50" s="14" t="s">
        <v>150</v>
      </c>
    </row>
    <row r="51">
      <c r="A51" s="7" t="s">
        <v>61</v>
      </c>
      <c r="B51" s="7" t="s">
        <v>10</v>
      </c>
      <c r="C51" s="14" t="s">
        <v>150</v>
      </c>
    </row>
    <row r="52">
      <c r="A52" s="7" t="s">
        <v>62</v>
      </c>
      <c r="B52" s="7" t="s">
        <v>10</v>
      </c>
      <c r="C52" s="14" t="s">
        <v>150</v>
      </c>
    </row>
    <row r="53">
      <c r="A53" s="7" t="s">
        <v>63</v>
      </c>
      <c r="B53" s="7" t="s">
        <v>10</v>
      </c>
      <c r="C53" s="14" t="s">
        <v>150</v>
      </c>
    </row>
    <row r="54">
      <c r="A54" s="7" t="s">
        <v>64</v>
      </c>
      <c r="B54" s="7" t="s">
        <v>10</v>
      </c>
      <c r="C54" s="14" t="s">
        <v>150</v>
      </c>
    </row>
    <row r="55">
      <c r="A55" s="7" t="s">
        <v>65</v>
      </c>
      <c r="B55" s="7" t="s">
        <v>10</v>
      </c>
      <c r="C55" s="14" t="s">
        <v>150</v>
      </c>
    </row>
    <row r="56">
      <c r="A56" s="7" t="s">
        <v>66</v>
      </c>
      <c r="B56" s="7" t="s">
        <v>10</v>
      </c>
      <c r="C56" s="14" t="s">
        <v>150</v>
      </c>
    </row>
    <row r="57">
      <c r="A57" s="7" t="s">
        <v>67</v>
      </c>
      <c r="B57" s="7" t="s">
        <v>10</v>
      </c>
      <c r="C57" s="14" t="s">
        <v>150</v>
      </c>
    </row>
    <row r="58">
      <c r="A58" s="7" t="s">
        <v>69</v>
      </c>
      <c r="B58" s="7" t="s">
        <v>10</v>
      </c>
      <c r="C58" s="14" t="s">
        <v>150</v>
      </c>
    </row>
    <row r="59">
      <c r="A59" s="7" t="s">
        <v>70</v>
      </c>
      <c r="B59" s="7" t="s">
        <v>10</v>
      </c>
      <c r="C59" s="14" t="s">
        <v>150</v>
      </c>
    </row>
    <row r="60">
      <c r="A60" s="7" t="s">
        <v>71</v>
      </c>
      <c r="B60" s="7" t="s">
        <v>10</v>
      </c>
      <c r="C60" s="14" t="s">
        <v>150</v>
      </c>
    </row>
    <row r="61">
      <c r="A61" s="7" t="s">
        <v>72</v>
      </c>
      <c r="B61" s="7" t="s">
        <v>10</v>
      </c>
      <c r="C61" s="14" t="s">
        <v>150</v>
      </c>
    </row>
    <row r="62">
      <c r="A62" s="7" t="s">
        <v>73</v>
      </c>
      <c r="B62" s="7" t="s">
        <v>10</v>
      </c>
      <c r="C62" s="14" t="s">
        <v>150</v>
      </c>
    </row>
    <row r="63">
      <c r="A63" s="7" t="s">
        <v>74</v>
      </c>
      <c r="B63" s="7" t="s">
        <v>10</v>
      </c>
      <c r="C63" s="14" t="s">
        <v>150</v>
      </c>
    </row>
    <row r="64">
      <c r="A64" s="7" t="s">
        <v>75</v>
      </c>
      <c r="B64" s="7" t="s">
        <v>10</v>
      </c>
      <c r="C64" s="14" t="s">
        <v>150</v>
      </c>
    </row>
    <row r="65">
      <c r="A65" s="7" t="s">
        <v>76</v>
      </c>
      <c r="B65" s="7" t="s">
        <v>10</v>
      </c>
      <c r="C65" s="14" t="s">
        <v>150</v>
      </c>
    </row>
    <row r="66">
      <c r="A66" s="7" t="s">
        <v>77</v>
      </c>
      <c r="B66" s="7" t="s">
        <v>10</v>
      </c>
      <c r="C66" s="14" t="s">
        <v>150</v>
      </c>
    </row>
    <row r="67">
      <c r="A67" s="7" t="s">
        <v>78</v>
      </c>
      <c r="B67" s="7" t="s">
        <v>10</v>
      </c>
      <c r="C67" s="14" t="s">
        <v>150</v>
      </c>
    </row>
    <row r="68">
      <c r="A68" s="7" t="s">
        <v>80</v>
      </c>
      <c r="B68" s="7" t="s">
        <v>10</v>
      </c>
      <c r="C68" s="14" t="s">
        <v>150</v>
      </c>
    </row>
    <row r="69">
      <c r="A69" s="7" t="s">
        <v>81</v>
      </c>
      <c r="B69" s="7" t="s">
        <v>10</v>
      </c>
      <c r="C69" s="14" t="s">
        <v>150</v>
      </c>
    </row>
    <row r="70">
      <c r="A70" s="7" t="s">
        <v>82</v>
      </c>
      <c r="B70" s="7" t="s">
        <v>10</v>
      </c>
      <c r="C70" s="14" t="s">
        <v>150</v>
      </c>
    </row>
    <row r="71">
      <c r="A71" s="7" t="s">
        <v>83</v>
      </c>
      <c r="B71" s="7" t="s">
        <v>10</v>
      </c>
      <c r="C71" s="14" t="s">
        <v>150</v>
      </c>
    </row>
    <row r="72">
      <c r="A72" s="7" t="s">
        <v>85</v>
      </c>
      <c r="B72" s="7" t="s">
        <v>10</v>
      </c>
      <c r="C72" s="14" t="s">
        <v>150</v>
      </c>
    </row>
    <row r="73">
      <c r="A73" s="7" t="s">
        <v>87</v>
      </c>
      <c r="B73" s="7" t="s">
        <v>10</v>
      </c>
      <c r="C73" s="14" t="s">
        <v>150</v>
      </c>
    </row>
    <row r="74">
      <c r="A74" s="7" t="s">
        <v>89</v>
      </c>
      <c r="B74" s="7" t="s">
        <v>10</v>
      </c>
      <c r="C74" s="14" t="s">
        <v>150</v>
      </c>
    </row>
    <row r="75">
      <c r="A75" s="7" t="s">
        <v>90</v>
      </c>
      <c r="B75" s="7" t="s">
        <v>10</v>
      </c>
      <c r="C75" s="14" t="s">
        <v>150</v>
      </c>
    </row>
    <row r="76">
      <c r="A76" s="7" t="s">
        <v>91</v>
      </c>
      <c r="B76" s="7" t="s">
        <v>92</v>
      </c>
      <c r="C76" s="14" t="s">
        <v>150</v>
      </c>
    </row>
    <row r="77">
      <c r="A77" s="7" t="s">
        <v>93</v>
      </c>
      <c r="B77" s="7" t="s">
        <v>10</v>
      </c>
      <c r="C77" s="14" t="s">
        <v>150</v>
      </c>
    </row>
    <row r="78">
      <c r="A78" s="7" t="s">
        <v>94</v>
      </c>
      <c r="B78" s="7" t="s">
        <v>10</v>
      </c>
      <c r="C78" s="14" t="s">
        <v>150</v>
      </c>
    </row>
    <row r="79">
      <c r="A79" s="7" t="s">
        <v>95</v>
      </c>
      <c r="B79" s="7" t="s">
        <v>10</v>
      </c>
      <c r="C79" s="14" t="s">
        <v>150</v>
      </c>
    </row>
    <row r="80">
      <c r="A80" s="7" t="s">
        <v>96</v>
      </c>
      <c r="B80" s="7" t="s">
        <v>10</v>
      </c>
      <c r="C80" s="14" t="s">
        <v>150</v>
      </c>
    </row>
    <row r="81">
      <c r="A81" s="7" t="s">
        <v>97</v>
      </c>
      <c r="B81" s="7" t="s">
        <v>10</v>
      </c>
      <c r="C81" s="14" t="s">
        <v>150</v>
      </c>
    </row>
    <row r="82">
      <c r="A82" s="7" t="s">
        <v>98</v>
      </c>
      <c r="B82" s="7" t="s">
        <v>10</v>
      </c>
      <c r="C82" s="14" t="s">
        <v>150</v>
      </c>
    </row>
    <row r="83">
      <c r="A83" s="7" t="s">
        <v>99</v>
      </c>
      <c r="B83" s="7" t="s">
        <v>10</v>
      </c>
      <c r="C83" s="14" t="s">
        <v>150</v>
      </c>
    </row>
    <row r="84">
      <c r="A84" s="7" t="s">
        <v>100</v>
      </c>
      <c r="B84" s="7" t="s">
        <v>10</v>
      </c>
      <c r="C84" s="14" t="s">
        <v>150</v>
      </c>
    </row>
    <row r="85">
      <c r="A85" s="7" t="s">
        <v>101</v>
      </c>
      <c r="B85" s="7" t="s">
        <v>10</v>
      </c>
      <c r="C85" s="14" t="s">
        <v>150</v>
      </c>
    </row>
    <row r="86">
      <c r="A86" s="7" t="s">
        <v>102</v>
      </c>
      <c r="B86" s="7" t="s">
        <v>10</v>
      </c>
      <c r="C86" s="14" t="s">
        <v>150</v>
      </c>
    </row>
    <row r="87">
      <c r="A87" s="7" t="s">
        <v>104</v>
      </c>
      <c r="B87" s="7" t="s">
        <v>10</v>
      </c>
      <c r="C87" s="14" t="s">
        <v>150</v>
      </c>
    </row>
    <row r="88">
      <c r="A88" s="7" t="s">
        <v>105</v>
      </c>
      <c r="B88" s="7" t="s">
        <v>10</v>
      </c>
      <c r="C88" s="14" t="s">
        <v>150</v>
      </c>
    </row>
    <row r="89">
      <c r="A89" s="7" t="s">
        <v>106</v>
      </c>
      <c r="B89" s="7" t="s">
        <v>10</v>
      </c>
      <c r="C89" s="14" t="s">
        <v>150</v>
      </c>
    </row>
    <row r="90">
      <c r="A90" s="7" t="s">
        <v>107</v>
      </c>
      <c r="B90" s="7" t="s">
        <v>10</v>
      </c>
      <c r="C90" s="14" t="s">
        <v>150</v>
      </c>
    </row>
    <row r="91">
      <c r="A91" s="7" t="s">
        <v>108</v>
      </c>
      <c r="B91" s="7" t="s">
        <v>10</v>
      </c>
      <c r="C91" s="14" t="s">
        <v>150</v>
      </c>
    </row>
    <row r="92">
      <c r="A92" s="7" t="s">
        <v>109</v>
      </c>
      <c r="B92" s="7" t="s">
        <v>10</v>
      </c>
      <c r="C92" s="14" t="s">
        <v>150</v>
      </c>
    </row>
    <row r="93">
      <c r="A93" s="7" t="s">
        <v>110</v>
      </c>
      <c r="B93" s="7" t="s">
        <v>10</v>
      </c>
      <c r="C93" s="14" t="s">
        <v>150</v>
      </c>
    </row>
    <row r="94">
      <c r="A94" s="7" t="s">
        <v>111</v>
      </c>
      <c r="B94" s="7" t="s">
        <v>10</v>
      </c>
      <c r="C94" s="14" t="s">
        <v>150</v>
      </c>
    </row>
    <row r="95">
      <c r="A95" s="7" t="s">
        <v>112</v>
      </c>
      <c r="B95" s="7" t="s">
        <v>10</v>
      </c>
      <c r="C95" s="14" t="s">
        <v>150</v>
      </c>
    </row>
    <row r="96">
      <c r="A96" s="12" t="s">
        <v>113</v>
      </c>
      <c r="B96" s="7" t="s">
        <v>114</v>
      </c>
      <c r="C96" s="14" t="s">
        <v>149</v>
      </c>
    </row>
    <row r="97">
      <c r="A97" s="7" t="s">
        <v>116</v>
      </c>
      <c r="B97" s="7" t="s">
        <v>10</v>
      </c>
      <c r="C97" s="14" t="s">
        <v>150</v>
      </c>
    </row>
    <row r="98">
      <c r="A98" s="7" t="s">
        <v>117</v>
      </c>
      <c r="B98" s="7" t="s">
        <v>10</v>
      </c>
      <c r="C98" s="14" t="s">
        <v>150</v>
      </c>
    </row>
    <row r="99">
      <c r="A99" s="7" t="s">
        <v>118</v>
      </c>
      <c r="B99" s="7" t="s">
        <v>10</v>
      </c>
      <c r="C99" s="14" t="s">
        <v>150</v>
      </c>
    </row>
    <row r="100">
      <c r="A100" s="7" t="s">
        <v>119</v>
      </c>
      <c r="B100" s="7" t="s">
        <v>10</v>
      </c>
      <c r="C100" s="14" t="s">
        <v>150</v>
      </c>
    </row>
    <row r="101">
      <c r="A101" s="7" t="s">
        <v>120</v>
      </c>
      <c r="B101" s="7" t="s">
        <v>10</v>
      </c>
      <c r="C101" s="14" t="s">
        <v>150</v>
      </c>
    </row>
    <row r="102">
      <c r="A102" s="7" t="s">
        <v>121</v>
      </c>
      <c r="B102" s="7" t="s">
        <v>10</v>
      </c>
      <c r="C102" s="14" t="s">
        <v>150</v>
      </c>
    </row>
    <row r="103">
      <c r="A103" s="7" t="s">
        <v>122</v>
      </c>
      <c r="B103" s="7" t="s">
        <v>10</v>
      </c>
      <c r="C103" s="14" t="s">
        <v>150</v>
      </c>
    </row>
    <row r="104">
      <c r="A104" s="7" t="s">
        <v>124</v>
      </c>
      <c r="B104" s="7" t="s">
        <v>10</v>
      </c>
      <c r="C104" s="14" t="s">
        <v>150</v>
      </c>
    </row>
    <row r="105">
      <c r="A105" s="7" t="s">
        <v>125</v>
      </c>
      <c r="B105" s="7" t="s">
        <v>10</v>
      </c>
      <c r="C105" s="14" t="s">
        <v>150</v>
      </c>
    </row>
    <row r="106">
      <c r="A106" s="7" t="s">
        <v>126</v>
      </c>
      <c r="B106" s="7" t="s">
        <v>10</v>
      </c>
      <c r="C106" s="14" t="s">
        <v>150</v>
      </c>
    </row>
    <row r="107">
      <c r="A107" s="7" t="s">
        <v>127</v>
      </c>
      <c r="B107" s="7" t="s">
        <v>10</v>
      </c>
      <c r="C107" s="14" t="s">
        <v>150</v>
      </c>
    </row>
    <row r="108">
      <c r="A108" s="7" t="s">
        <v>128</v>
      </c>
      <c r="B108" s="7" t="s">
        <v>10</v>
      </c>
      <c r="C108" s="14" t="s">
        <v>150</v>
      </c>
    </row>
    <row r="109">
      <c r="A109" s="7" t="s">
        <v>129</v>
      </c>
      <c r="B109" s="7" t="s">
        <v>10</v>
      </c>
      <c r="C109" s="14" t="s">
        <v>150</v>
      </c>
    </row>
    <row r="110">
      <c r="A110" s="7" t="s">
        <v>130</v>
      </c>
      <c r="B110" s="7" t="s">
        <v>10</v>
      </c>
      <c r="C110" s="14" t="s">
        <v>150</v>
      </c>
    </row>
    <row r="111">
      <c r="A111" s="7" t="s">
        <v>131</v>
      </c>
      <c r="B111" s="7" t="s">
        <v>10</v>
      </c>
      <c r="C111" s="14" t="s">
        <v>150</v>
      </c>
    </row>
    <row r="112">
      <c r="A112" s="7" t="s">
        <v>132</v>
      </c>
      <c r="B112" s="7" t="s">
        <v>10</v>
      </c>
      <c r="C112" s="14" t="s">
        <v>150</v>
      </c>
    </row>
    <row r="113">
      <c r="A113" s="7" t="s">
        <v>133</v>
      </c>
      <c r="B113" s="7" t="s">
        <v>10</v>
      </c>
      <c r="C113" s="14" t="s">
        <v>150</v>
      </c>
    </row>
    <row r="114">
      <c r="A114" s="7" t="s">
        <v>134</v>
      </c>
      <c r="B114" s="7" t="s">
        <v>10</v>
      </c>
      <c r="C114" s="14" t="s">
        <v>150</v>
      </c>
    </row>
    <row r="115">
      <c r="A115" s="7" t="s">
        <v>135</v>
      </c>
      <c r="B115" s="7" t="s">
        <v>10</v>
      </c>
      <c r="C115" s="14" t="s">
        <v>150</v>
      </c>
    </row>
    <row r="116">
      <c r="A116" s="7" t="s">
        <v>136</v>
      </c>
      <c r="B116" s="7" t="s">
        <v>10</v>
      </c>
      <c r="C116" s="14" t="s">
        <v>150</v>
      </c>
    </row>
    <row r="117">
      <c r="A117" s="7" t="s">
        <v>137</v>
      </c>
      <c r="B117" s="7" t="s">
        <v>10</v>
      </c>
      <c r="C117" s="14" t="s">
        <v>150</v>
      </c>
    </row>
    <row r="118">
      <c r="A118" s="7" t="s">
        <v>138</v>
      </c>
      <c r="B118" s="7" t="s">
        <v>10</v>
      </c>
      <c r="C118" s="14" t="s">
        <v>150</v>
      </c>
    </row>
    <row r="119">
      <c r="A119" s="7" t="s">
        <v>139</v>
      </c>
      <c r="B119" s="7" t="s">
        <v>10</v>
      </c>
      <c r="C119" s="14" t="s">
        <v>150</v>
      </c>
    </row>
    <row r="120">
      <c r="A120" s="7" t="s">
        <v>140</v>
      </c>
      <c r="B120" s="7" t="s">
        <v>10</v>
      </c>
      <c r="C120" s="14" t="s">
        <v>150</v>
      </c>
    </row>
    <row r="121">
      <c r="A121" s="7" t="s">
        <v>141</v>
      </c>
      <c r="B121" s="7" t="s">
        <v>10</v>
      </c>
      <c r="C121" s="14" t="s">
        <v>150</v>
      </c>
    </row>
    <row r="122">
      <c r="A122" s="7" t="s">
        <v>142</v>
      </c>
      <c r="B122" s="7" t="s">
        <v>10</v>
      </c>
      <c r="C122" s="14" t="s">
        <v>150</v>
      </c>
    </row>
    <row r="123">
      <c r="A123" s="7" t="s">
        <v>143</v>
      </c>
      <c r="B123" s="7" t="s">
        <v>10</v>
      </c>
      <c r="C123" s="14" t="s">
        <v>150</v>
      </c>
    </row>
    <row r="124">
      <c r="A124" s="7" t="s">
        <v>145</v>
      </c>
      <c r="B124" s="7" t="s">
        <v>10</v>
      </c>
      <c r="C124" s="14" t="s">
        <v>150</v>
      </c>
    </row>
    <row r="125">
      <c r="A125" s="7" t="s">
        <v>146</v>
      </c>
      <c r="B125" s="7" t="s">
        <v>10</v>
      </c>
      <c r="C125" s="14" t="s">
        <v>150</v>
      </c>
    </row>
    <row r="126">
      <c r="A126" s="7" t="s">
        <v>147</v>
      </c>
      <c r="B126" s="7" t="s">
        <v>10</v>
      </c>
      <c r="C126" s="14" t="s">
        <v>150</v>
      </c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/>
      <c r="B1" s="15"/>
      <c r="C1" s="16" t="s">
        <v>151</v>
      </c>
      <c r="D1" s="16" t="s">
        <v>152</v>
      </c>
      <c r="E1" s="16" t="s">
        <v>153</v>
      </c>
      <c r="F1" s="16" t="s">
        <v>154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15" t="s">
        <v>155</v>
      </c>
      <c r="B2" s="15" t="s">
        <v>156</v>
      </c>
      <c r="C2" s="16" t="s">
        <v>157</v>
      </c>
      <c r="D2" s="16" t="s">
        <v>158</v>
      </c>
      <c r="E2" s="16" t="s">
        <v>159</v>
      </c>
      <c r="F2" s="16" t="s">
        <v>160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7" t="s">
        <v>9</v>
      </c>
      <c r="B3" s="17" t="s">
        <v>161</v>
      </c>
      <c r="C3" s="18">
        <v>0.0</v>
      </c>
      <c r="D3" s="18">
        <v>0.0</v>
      </c>
      <c r="E3" s="18">
        <v>0.0</v>
      </c>
      <c r="F3" s="18">
        <v>3.0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7" t="s">
        <v>9</v>
      </c>
      <c r="B4" s="17" t="s">
        <v>162</v>
      </c>
      <c r="C4" s="18">
        <v>0.0</v>
      </c>
      <c r="D4" s="18">
        <v>1.0</v>
      </c>
      <c r="E4" s="18">
        <v>0.0</v>
      </c>
      <c r="F4" s="18">
        <v>3.0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17" t="s">
        <v>9</v>
      </c>
      <c r="B5" s="17" t="s">
        <v>163</v>
      </c>
      <c r="C5" s="18">
        <v>0.0</v>
      </c>
      <c r="D5" s="18">
        <v>1.0</v>
      </c>
      <c r="E5" s="18">
        <v>0.0</v>
      </c>
      <c r="F5" s="18">
        <v>3.0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15" t="s">
        <v>12</v>
      </c>
      <c r="B6" s="17" t="s">
        <v>164</v>
      </c>
      <c r="C6" s="18">
        <v>0.0</v>
      </c>
      <c r="D6" s="18">
        <v>1.0</v>
      </c>
      <c r="E6" s="18">
        <v>0.0</v>
      </c>
      <c r="F6" s="18">
        <v>3.0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5" t="s">
        <v>12</v>
      </c>
      <c r="B7" s="17" t="s">
        <v>165</v>
      </c>
      <c r="C7" s="18">
        <v>0.0</v>
      </c>
      <c r="D7" s="18">
        <v>1.0</v>
      </c>
      <c r="E7" s="18">
        <v>0.0</v>
      </c>
      <c r="F7" s="18">
        <v>3.0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5" t="s">
        <v>13</v>
      </c>
      <c r="B8" s="17" t="s">
        <v>166</v>
      </c>
      <c r="C8" s="18">
        <v>0.0</v>
      </c>
      <c r="D8" s="18">
        <v>1.0</v>
      </c>
      <c r="E8" s="18">
        <v>0.0</v>
      </c>
      <c r="F8" s="18">
        <v>3.0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5" t="s">
        <v>13</v>
      </c>
      <c r="B9" s="17" t="s">
        <v>167</v>
      </c>
      <c r="C9" s="18">
        <v>1.0</v>
      </c>
      <c r="D9" s="18">
        <v>1.0</v>
      </c>
      <c r="E9" s="18">
        <v>0.0</v>
      </c>
      <c r="F9" s="18">
        <v>3.0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5" t="s">
        <v>13</v>
      </c>
      <c r="B10" s="17" t="s">
        <v>168</v>
      </c>
      <c r="C10" s="18">
        <v>1.0</v>
      </c>
      <c r="D10" s="18">
        <v>1.0</v>
      </c>
      <c r="E10" s="18">
        <v>0.0</v>
      </c>
      <c r="F10" s="18">
        <v>3.0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5" t="s">
        <v>13</v>
      </c>
      <c r="B11" s="17" t="s">
        <v>169</v>
      </c>
      <c r="C11" s="18">
        <v>0.0</v>
      </c>
      <c r="D11" s="18">
        <v>1.0</v>
      </c>
      <c r="E11" s="18">
        <v>0.0</v>
      </c>
      <c r="F11" s="18">
        <v>3.0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5" t="s">
        <v>13</v>
      </c>
      <c r="B12" s="17" t="s">
        <v>170</v>
      </c>
      <c r="C12" s="18">
        <v>0.0</v>
      </c>
      <c r="D12" s="18">
        <v>1.0</v>
      </c>
      <c r="E12" s="18">
        <v>0.0</v>
      </c>
      <c r="F12" s="18">
        <v>3.0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5" t="s">
        <v>13</v>
      </c>
      <c r="B13" s="17" t="s">
        <v>171</v>
      </c>
      <c r="C13" s="18">
        <v>0.0</v>
      </c>
      <c r="D13" s="18">
        <v>1.0</v>
      </c>
      <c r="E13" s="18">
        <v>0.0</v>
      </c>
      <c r="F13" s="18">
        <v>3.0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5" t="s">
        <v>13</v>
      </c>
      <c r="B14" s="17" t="s">
        <v>172</v>
      </c>
      <c r="C14" s="18">
        <v>0.0</v>
      </c>
      <c r="D14" s="18">
        <v>1.0</v>
      </c>
      <c r="E14" s="18">
        <v>0.0</v>
      </c>
      <c r="F14" s="18">
        <v>3.0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5" t="s">
        <v>13</v>
      </c>
      <c r="B15" s="17" t="s">
        <v>173</v>
      </c>
      <c r="C15" s="18">
        <v>2.0</v>
      </c>
      <c r="D15" s="18">
        <v>1.0</v>
      </c>
      <c r="E15" s="18">
        <v>0.0</v>
      </c>
      <c r="F15" s="18">
        <v>3.0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5" t="s">
        <v>13</v>
      </c>
      <c r="B16" s="17" t="s">
        <v>174</v>
      </c>
      <c r="C16" s="18">
        <v>0.0</v>
      </c>
      <c r="D16" s="18">
        <v>1.0</v>
      </c>
      <c r="E16" s="18">
        <v>0.0</v>
      </c>
      <c r="F16" s="18">
        <v>3.0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5" t="s">
        <v>13</v>
      </c>
      <c r="B17" s="17" t="s">
        <v>175</v>
      </c>
      <c r="C17" s="18">
        <v>0.0</v>
      </c>
      <c r="D17" s="18">
        <v>1.0</v>
      </c>
      <c r="E17" s="18">
        <v>0.0</v>
      </c>
      <c r="F17" s="18">
        <v>3.0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5" t="s">
        <v>13</v>
      </c>
      <c r="B18" s="17" t="s">
        <v>176</v>
      </c>
      <c r="C18" s="18">
        <v>3.0</v>
      </c>
      <c r="D18" s="18">
        <v>1.0</v>
      </c>
      <c r="E18" s="18">
        <v>0.0</v>
      </c>
      <c r="F18" s="18">
        <v>3.0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5" t="s">
        <v>13</v>
      </c>
      <c r="B19" s="17" t="s">
        <v>177</v>
      </c>
      <c r="C19" s="18">
        <v>1.0</v>
      </c>
      <c r="D19" s="18">
        <v>1.0</v>
      </c>
      <c r="E19" s="18">
        <v>0.0</v>
      </c>
      <c r="F19" s="18">
        <v>3.0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5" t="s">
        <v>13</v>
      </c>
      <c r="B20" s="17" t="s">
        <v>178</v>
      </c>
      <c r="C20" s="18">
        <v>0.0</v>
      </c>
      <c r="D20" s="18">
        <v>1.0</v>
      </c>
      <c r="E20" s="18">
        <v>0.0</v>
      </c>
      <c r="F20" s="18">
        <v>3.0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5" t="s">
        <v>13</v>
      </c>
      <c r="B21" s="17" t="s">
        <v>179</v>
      </c>
      <c r="C21" s="18">
        <v>0.0</v>
      </c>
      <c r="D21" s="18">
        <v>1.0</v>
      </c>
      <c r="E21" s="18">
        <v>0.0</v>
      </c>
      <c r="F21" s="18">
        <v>3.0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5" t="s">
        <v>13</v>
      </c>
      <c r="B22" s="17" t="s">
        <v>180</v>
      </c>
      <c r="C22" s="18">
        <v>0.0</v>
      </c>
      <c r="D22" s="18">
        <v>1.0</v>
      </c>
      <c r="E22" s="18">
        <v>0.0</v>
      </c>
      <c r="F22" s="18">
        <v>3.0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5" t="s">
        <v>13</v>
      </c>
      <c r="B23" s="17" t="s">
        <v>181</v>
      </c>
      <c r="C23" s="18">
        <v>0.0</v>
      </c>
      <c r="D23" s="18">
        <v>1.0</v>
      </c>
      <c r="E23" s="18">
        <v>0.0</v>
      </c>
      <c r="F23" s="18">
        <v>3.0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5" t="s">
        <v>13</v>
      </c>
      <c r="B24" s="17" t="s">
        <v>182</v>
      </c>
      <c r="C24" s="18">
        <v>0.0</v>
      </c>
      <c r="D24" s="18">
        <v>1.0</v>
      </c>
      <c r="E24" s="18">
        <v>0.0</v>
      </c>
      <c r="F24" s="18">
        <v>3.0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5" t="s">
        <v>13</v>
      </c>
      <c r="B25" s="17" t="s">
        <v>183</v>
      </c>
      <c r="C25" s="18">
        <v>0.0</v>
      </c>
      <c r="D25" s="18">
        <v>1.0</v>
      </c>
      <c r="E25" s="18">
        <v>0.0</v>
      </c>
      <c r="F25" s="18">
        <v>3.0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5" t="s">
        <v>13</v>
      </c>
      <c r="B26" s="17" t="s">
        <v>184</v>
      </c>
      <c r="C26" s="18">
        <v>0.0</v>
      </c>
      <c r="D26" s="18">
        <v>1.0</v>
      </c>
      <c r="E26" s="18">
        <v>0.0</v>
      </c>
      <c r="F26" s="18">
        <v>3.0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5" t="s">
        <v>13</v>
      </c>
      <c r="B27" s="17" t="s">
        <v>185</v>
      </c>
      <c r="C27" s="18">
        <v>0.0</v>
      </c>
      <c r="D27" s="18">
        <v>1.0</v>
      </c>
      <c r="E27" s="18">
        <v>0.0</v>
      </c>
      <c r="F27" s="18">
        <v>3.0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5" t="s">
        <v>13</v>
      </c>
      <c r="B28" s="17" t="s">
        <v>186</v>
      </c>
      <c r="C28" s="18">
        <v>0.0</v>
      </c>
      <c r="D28" s="18">
        <v>1.0</v>
      </c>
      <c r="E28" s="18">
        <v>0.0</v>
      </c>
      <c r="F28" s="18">
        <v>0.0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5" t="s">
        <v>13</v>
      </c>
      <c r="B29" s="17" t="s">
        <v>187</v>
      </c>
      <c r="C29" s="18">
        <v>0.0</v>
      </c>
      <c r="D29" s="18">
        <v>1.0</v>
      </c>
      <c r="E29" s="18">
        <v>0.0</v>
      </c>
      <c r="F29" s="18">
        <v>3.0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5" t="s">
        <v>13</v>
      </c>
      <c r="B30" s="17" t="s">
        <v>188</v>
      </c>
      <c r="C30" s="18">
        <v>1.0</v>
      </c>
      <c r="D30" s="18">
        <v>1.0</v>
      </c>
      <c r="E30" s="18">
        <v>0.0</v>
      </c>
      <c r="F30" s="18">
        <v>3.0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5" t="s">
        <v>13</v>
      </c>
      <c r="B31" s="17" t="s">
        <v>189</v>
      </c>
      <c r="C31" s="18">
        <v>0.0</v>
      </c>
      <c r="D31" s="18">
        <v>1.0</v>
      </c>
      <c r="E31" s="18">
        <v>0.0</v>
      </c>
      <c r="F31" s="18">
        <v>3.0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5" t="s">
        <v>13</v>
      </c>
      <c r="B32" s="17" t="s">
        <v>190</v>
      </c>
      <c r="C32" s="18">
        <v>0.0</v>
      </c>
      <c r="D32" s="18">
        <v>1.0</v>
      </c>
      <c r="E32" s="18">
        <v>0.0</v>
      </c>
      <c r="F32" s="18">
        <v>3.0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5" t="s">
        <v>13</v>
      </c>
      <c r="B33" s="17" t="s">
        <v>191</v>
      </c>
      <c r="C33" s="18">
        <v>1.0</v>
      </c>
      <c r="D33" s="18">
        <v>1.0</v>
      </c>
      <c r="E33" s="18">
        <v>0.0</v>
      </c>
      <c r="F33" s="18">
        <v>3.0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5" t="s">
        <v>13</v>
      </c>
      <c r="B34" s="17" t="s">
        <v>192</v>
      </c>
      <c r="C34" s="18">
        <v>1.0</v>
      </c>
      <c r="D34" s="18">
        <v>1.0</v>
      </c>
      <c r="E34" s="18">
        <v>0.0</v>
      </c>
      <c r="F34" s="18">
        <v>3.0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5" t="s">
        <v>13</v>
      </c>
      <c r="B35" s="17" t="s">
        <v>193</v>
      </c>
      <c r="C35" s="18">
        <v>0.0</v>
      </c>
      <c r="D35" s="18">
        <v>1.0</v>
      </c>
      <c r="E35" s="18">
        <v>0.0</v>
      </c>
      <c r="F35" s="18">
        <v>3.0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5" t="s">
        <v>13</v>
      </c>
      <c r="B36" s="17" t="s">
        <v>194</v>
      </c>
      <c r="C36" s="18">
        <v>0.0</v>
      </c>
      <c r="D36" s="18">
        <v>1.0</v>
      </c>
      <c r="E36" s="18">
        <v>0.0</v>
      </c>
      <c r="F36" s="18">
        <v>3.0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5" t="s">
        <v>13</v>
      </c>
      <c r="B37" s="17" t="s">
        <v>195</v>
      </c>
      <c r="C37" s="18">
        <v>0.0</v>
      </c>
      <c r="D37" s="18">
        <v>1.0</v>
      </c>
      <c r="E37" s="18">
        <v>0.0</v>
      </c>
      <c r="F37" s="18">
        <v>3.0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5" t="s">
        <v>13</v>
      </c>
      <c r="B38" s="17" t="s">
        <v>196</v>
      </c>
      <c r="C38" s="18">
        <v>2.0</v>
      </c>
      <c r="D38" s="18">
        <v>1.0</v>
      </c>
      <c r="E38" s="18">
        <v>0.0</v>
      </c>
      <c r="F38" s="18">
        <v>3.0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5" t="s">
        <v>13</v>
      </c>
      <c r="B39" s="17" t="s">
        <v>197</v>
      </c>
      <c r="C39" s="18">
        <v>2.0</v>
      </c>
      <c r="D39" s="18">
        <v>1.0</v>
      </c>
      <c r="E39" s="18">
        <v>0.0</v>
      </c>
      <c r="F39" s="18">
        <v>3.0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5" t="s">
        <v>13</v>
      </c>
      <c r="B40" s="17" t="s">
        <v>198</v>
      </c>
      <c r="C40" s="18">
        <v>3.0</v>
      </c>
      <c r="D40" s="18">
        <v>2.0</v>
      </c>
      <c r="E40" s="18">
        <v>0.0</v>
      </c>
      <c r="F40" s="18">
        <v>0.0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5" t="s">
        <v>13</v>
      </c>
      <c r="B41" s="17" t="s">
        <v>199</v>
      </c>
      <c r="C41" s="18">
        <v>0.0</v>
      </c>
      <c r="D41" s="18">
        <v>1.0</v>
      </c>
      <c r="E41" s="18">
        <v>0.0</v>
      </c>
      <c r="F41" s="18">
        <v>3.0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5" t="s">
        <v>13</v>
      </c>
      <c r="B42" s="17" t="s">
        <v>200</v>
      </c>
      <c r="C42" s="18">
        <v>0.0</v>
      </c>
      <c r="D42" s="18">
        <v>1.0</v>
      </c>
      <c r="E42" s="18">
        <v>0.0</v>
      </c>
      <c r="F42" s="18">
        <v>3.0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5" t="s">
        <v>13</v>
      </c>
      <c r="B43" s="17" t="s">
        <v>201</v>
      </c>
      <c r="C43" s="18">
        <v>1.0</v>
      </c>
      <c r="D43" s="18">
        <v>1.0</v>
      </c>
      <c r="E43" s="18">
        <v>0.0</v>
      </c>
      <c r="F43" s="18">
        <v>3.0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5" t="s">
        <v>13</v>
      </c>
      <c r="B44" s="17" t="s">
        <v>202</v>
      </c>
      <c r="C44" s="18">
        <v>0.0</v>
      </c>
      <c r="D44" s="18">
        <v>1.0</v>
      </c>
      <c r="E44" s="18">
        <v>0.0</v>
      </c>
      <c r="F44" s="18">
        <v>3.0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5" t="s">
        <v>13</v>
      </c>
      <c r="B45" s="17" t="s">
        <v>203</v>
      </c>
      <c r="C45" s="18">
        <v>0.0</v>
      </c>
      <c r="D45" s="18">
        <v>1.0</v>
      </c>
      <c r="E45" s="18">
        <v>0.0</v>
      </c>
      <c r="F45" s="18">
        <v>0.0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5" t="s">
        <v>13</v>
      </c>
      <c r="B46" s="17" t="s">
        <v>204</v>
      </c>
      <c r="C46" s="18">
        <v>1.0</v>
      </c>
      <c r="D46" s="18">
        <v>1.0</v>
      </c>
      <c r="E46" s="18">
        <v>0.0</v>
      </c>
      <c r="F46" s="18">
        <v>3.0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5" t="s">
        <v>13</v>
      </c>
      <c r="B47" s="17" t="s">
        <v>205</v>
      </c>
      <c r="C47" s="18">
        <v>1.0</v>
      </c>
      <c r="D47" s="18">
        <v>1.0</v>
      </c>
      <c r="E47" s="18">
        <v>0.0</v>
      </c>
      <c r="F47" s="18">
        <v>3.0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5" t="s">
        <v>13</v>
      </c>
      <c r="B48" s="17" t="s">
        <v>206</v>
      </c>
      <c r="C48" s="18">
        <v>2.0</v>
      </c>
      <c r="D48" s="18">
        <v>1.0</v>
      </c>
      <c r="E48" s="18">
        <v>0.0</v>
      </c>
      <c r="F48" s="18">
        <v>3.0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5" t="s">
        <v>13</v>
      </c>
      <c r="B49" s="17" t="s">
        <v>207</v>
      </c>
      <c r="C49" s="18">
        <v>0.0</v>
      </c>
      <c r="D49" s="18">
        <v>1.0</v>
      </c>
      <c r="E49" s="18">
        <v>0.0</v>
      </c>
      <c r="F49" s="18">
        <v>3.0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5" t="s">
        <v>14</v>
      </c>
      <c r="B50" s="17" t="s">
        <v>208</v>
      </c>
      <c r="C50" s="18">
        <v>2.0</v>
      </c>
      <c r="D50" s="18">
        <v>1.0</v>
      </c>
      <c r="E50" s="18">
        <v>0.0</v>
      </c>
      <c r="F50" s="18">
        <v>2.0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5" t="s">
        <v>14</v>
      </c>
      <c r="B51" s="17" t="s">
        <v>209</v>
      </c>
      <c r="C51" s="18">
        <v>2.0</v>
      </c>
      <c r="D51" s="18">
        <v>1.0</v>
      </c>
      <c r="E51" s="18">
        <v>0.0</v>
      </c>
      <c r="F51" s="18">
        <v>2.0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5" t="s">
        <v>14</v>
      </c>
      <c r="B52" s="17" t="s">
        <v>210</v>
      </c>
      <c r="C52" s="18">
        <v>2.0</v>
      </c>
      <c r="D52" s="18">
        <v>1.0</v>
      </c>
      <c r="E52" s="18">
        <v>0.0</v>
      </c>
      <c r="F52" s="18">
        <v>2.0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5" t="s">
        <v>14</v>
      </c>
      <c r="B53" s="17" t="s">
        <v>211</v>
      </c>
      <c r="C53" s="18">
        <v>2.0</v>
      </c>
      <c r="D53" s="18">
        <v>1.0</v>
      </c>
      <c r="E53" s="18">
        <v>0.0</v>
      </c>
      <c r="F53" s="18">
        <v>2.0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5" t="s">
        <v>14</v>
      </c>
      <c r="B54" s="17" t="s">
        <v>212</v>
      </c>
      <c r="C54" s="18">
        <v>2.0</v>
      </c>
      <c r="D54" s="18">
        <v>1.0</v>
      </c>
      <c r="E54" s="18">
        <v>0.0</v>
      </c>
      <c r="F54" s="18">
        <v>2.0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5" t="s">
        <v>14</v>
      </c>
      <c r="B55" s="17" t="s">
        <v>213</v>
      </c>
      <c r="C55" s="18">
        <v>1.0</v>
      </c>
      <c r="D55" s="18">
        <v>1.0</v>
      </c>
      <c r="E55" s="18">
        <v>0.0</v>
      </c>
      <c r="F55" s="18">
        <v>2.0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5" t="s">
        <v>14</v>
      </c>
      <c r="B56" s="17" t="s">
        <v>214</v>
      </c>
      <c r="C56" s="18">
        <v>2.0</v>
      </c>
      <c r="D56" s="18">
        <v>1.0</v>
      </c>
      <c r="E56" s="18">
        <v>0.0</v>
      </c>
      <c r="F56" s="18">
        <v>2.0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5" t="s">
        <v>14</v>
      </c>
      <c r="B57" s="17" t="s">
        <v>215</v>
      </c>
      <c r="C57" s="18">
        <v>2.0</v>
      </c>
      <c r="D57" s="18">
        <v>1.0</v>
      </c>
      <c r="E57" s="18">
        <v>0.0</v>
      </c>
      <c r="F57" s="18">
        <v>2.0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5" t="s">
        <v>14</v>
      </c>
      <c r="B58" s="17" t="s">
        <v>216</v>
      </c>
      <c r="C58" s="18">
        <v>1.0</v>
      </c>
      <c r="D58" s="18">
        <v>1.0</v>
      </c>
      <c r="E58" s="18">
        <v>0.0</v>
      </c>
      <c r="F58" s="18">
        <v>3.0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5" t="s">
        <v>14</v>
      </c>
      <c r="B59" s="17" t="s">
        <v>217</v>
      </c>
      <c r="C59" s="18">
        <v>2.0</v>
      </c>
      <c r="D59" s="18">
        <v>1.0</v>
      </c>
      <c r="E59" s="18">
        <v>0.0</v>
      </c>
      <c r="F59" s="18">
        <v>2.0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5" t="s">
        <v>14</v>
      </c>
      <c r="B60" s="17" t="s">
        <v>218</v>
      </c>
      <c r="C60" s="18">
        <v>2.0</v>
      </c>
      <c r="D60" s="18">
        <v>1.0</v>
      </c>
      <c r="E60" s="18">
        <v>0.0</v>
      </c>
      <c r="F60" s="18">
        <v>2.0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5" t="s">
        <v>15</v>
      </c>
      <c r="B61" s="17" t="s">
        <v>219</v>
      </c>
      <c r="C61" s="18">
        <v>0.0</v>
      </c>
      <c r="D61" s="18">
        <v>2.0</v>
      </c>
      <c r="E61" s="18">
        <v>0.0</v>
      </c>
      <c r="F61" s="18">
        <v>3.0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5" t="s">
        <v>15</v>
      </c>
      <c r="B62" s="17" t="s">
        <v>220</v>
      </c>
      <c r="C62" s="18">
        <v>0.0</v>
      </c>
      <c r="D62" s="18">
        <v>2.0</v>
      </c>
      <c r="E62" s="18">
        <v>0.0</v>
      </c>
      <c r="F62" s="18">
        <v>3.0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5" t="s">
        <v>15</v>
      </c>
      <c r="B63" s="17" t="s">
        <v>221</v>
      </c>
      <c r="C63" s="18">
        <v>2.0</v>
      </c>
      <c r="D63" s="18">
        <v>2.0</v>
      </c>
      <c r="E63" s="18">
        <v>0.0</v>
      </c>
      <c r="F63" s="18">
        <v>3.0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5" t="s">
        <v>16</v>
      </c>
      <c r="B64" s="17" t="s">
        <v>222</v>
      </c>
      <c r="C64" s="18">
        <v>2.0</v>
      </c>
      <c r="D64" s="18">
        <v>1.0</v>
      </c>
      <c r="E64" s="18">
        <v>0.0</v>
      </c>
      <c r="F64" s="18">
        <v>3.0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5" t="s">
        <v>16</v>
      </c>
      <c r="B65" s="17" t="s">
        <v>223</v>
      </c>
      <c r="C65" s="18">
        <v>1.0</v>
      </c>
      <c r="D65" s="18">
        <v>1.0</v>
      </c>
      <c r="E65" s="18">
        <v>0.0</v>
      </c>
      <c r="F65" s="18">
        <v>3.0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5" t="s">
        <v>16</v>
      </c>
      <c r="B66" s="17" t="s">
        <v>224</v>
      </c>
      <c r="C66" s="18">
        <v>0.0</v>
      </c>
      <c r="D66" s="18">
        <v>1.0</v>
      </c>
      <c r="E66" s="18">
        <v>0.0</v>
      </c>
      <c r="F66" s="18">
        <v>3.0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5" t="s">
        <v>17</v>
      </c>
      <c r="B67" s="17" t="s">
        <v>225</v>
      </c>
      <c r="C67" s="18">
        <v>1.0</v>
      </c>
      <c r="D67" s="18">
        <v>1.0</v>
      </c>
      <c r="E67" s="18">
        <v>0.0</v>
      </c>
      <c r="F67" s="18">
        <v>3.0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5" t="s">
        <v>18</v>
      </c>
      <c r="B68" s="17" t="s">
        <v>226</v>
      </c>
      <c r="C68" s="18">
        <v>2.0</v>
      </c>
      <c r="D68" s="18">
        <v>1.0</v>
      </c>
      <c r="E68" s="18">
        <v>0.0</v>
      </c>
      <c r="F68" s="18">
        <v>3.0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5" t="s">
        <v>18</v>
      </c>
      <c r="B69" s="17" t="s">
        <v>227</v>
      </c>
      <c r="C69" s="18">
        <v>2.0</v>
      </c>
      <c r="D69" s="18">
        <v>1.0</v>
      </c>
      <c r="E69" s="18">
        <v>0.0</v>
      </c>
      <c r="F69" s="18">
        <v>3.0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5" t="s">
        <v>18</v>
      </c>
      <c r="B70" s="17" t="s">
        <v>228</v>
      </c>
      <c r="C70" s="18">
        <v>1.0</v>
      </c>
      <c r="D70" s="18">
        <v>1.0</v>
      </c>
      <c r="E70" s="18">
        <v>0.0</v>
      </c>
      <c r="F70" s="18">
        <v>3.0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5" t="s">
        <v>19</v>
      </c>
      <c r="B71" s="17" t="s">
        <v>229</v>
      </c>
      <c r="C71" s="18">
        <v>0.0</v>
      </c>
      <c r="D71" s="18">
        <v>1.0</v>
      </c>
      <c r="E71" s="18">
        <v>0.0</v>
      </c>
      <c r="F71" s="18">
        <v>3.0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5" t="s">
        <v>20</v>
      </c>
      <c r="B72" s="17" t="s">
        <v>230</v>
      </c>
      <c r="C72" s="18">
        <v>0.0</v>
      </c>
      <c r="D72" s="18">
        <v>1.0</v>
      </c>
      <c r="E72" s="18">
        <v>0.0</v>
      </c>
      <c r="F72" s="18">
        <v>3.0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5" t="s">
        <v>20</v>
      </c>
      <c r="B73" s="17" t="s">
        <v>231</v>
      </c>
      <c r="C73" s="18">
        <v>0.0</v>
      </c>
      <c r="D73" s="18">
        <v>1.0</v>
      </c>
      <c r="E73" s="18">
        <v>0.0</v>
      </c>
      <c r="F73" s="18">
        <v>3.0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5" t="s">
        <v>20</v>
      </c>
      <c r="B74" s="17" t="s">
        <v>232</v>
      </c>
      <c r="C74" s="18">
        <v>0.0</v>
      </c>
      <c r="D74" s="18">
        <v>1.0</v>
      </c>
      <c r="E74" s="18">
        <v>0.0</v>
      </c>
      <c r="F74" s="18">
        <v>3.0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5" t="s">
        <v>20</v>
      </c>
      <c r="B75" s="17" t="s">
        <v>233</v>
      </c>
      <c r="C75" s="18">
        <v>0.0</v>
      </c>
      <c r="D75" s="18">
        <v>1.0</v>
      </c>
      <c r="E75" s="18">
        <v>0.0</v>
      </c>
      <c r="F75" s="18">
        <v>3.0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5" t="s">
        <v>20</v>
      </c>
      <c r="B76" s="17" t="s">
        <v>234</v>
      </c>
      <c r="C76" s="18">
        <v>1.0</v>
      </c>
      <c r="D76" s="18">
        <v>1.0</v>
      </c>
      <c r="E76" s="18">
        <v>0.0</v>
      </c>
      <c r="F76" s="18">
        <v>3.0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5" t="s">
        <v>20</v>
      </c>
      <c r="B77" s="17" t="s">
        <v>235</v>
      </c>
      <c r="C77" s="18">
        <v>1.0</v>
      </c>
      <c r="D77" s="18">
        <v>1.0</v>
      </c>
      <c r="E77" s="18">
        <v>0.0</v>
      </c>
      <c r="F77" s="18">
        <v>3.0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5" t="s">
        <v>20</v>
      </c>
      <c r="B78" s="17" t="s">
        <v>236</v>
      </c>
      <c r="C78" s="18">
        <v>0.0</v>
      </c>
      <c r="D78" s="18">
        <v>1.0</v>
      </c>
      <c r="E78" s="18">
        <v>0.0</v>
      </c>
      <c r="F78" s="18">
        <v>3.0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5" t="s">
        <v>20</v>
      </c>
      <c r="B79" s="17" t="s">
        <v>237</v>
      </c>
      <c r="C79" s="18">
        <v>0.0</v>
      </c>
      <c r="D79" s="18">
        <v>1.0</v>
      </c>
      <c r="E79" s="18">
        <v>0.0</v>
      </c>
      <c r="F79" s="18">
        <v>3.0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5" t="s">
        <v>20</v>
      </c>
      <c r="B80" s="17" t="s">
        <v>238</v>
      </c>
      <c r="C80" s="18">
        <v>0.0</v>
      </c>
      <c r="D80" s="18">
        <v>1.0</v>
      </c>
      <c r="E80" s="18">
        <v>0.0</v>
      </c>
      <c r="F80" s="18">
        <v>3.0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5" t="s">
        <v>20</v>
      </c>
      <c r="B81" s="17" t="s">
        <v>239</v>
      </c>
      <c r="C81" s="18">
        <v>0.0</v>
      </c>
      <c r="D81" s="18">
        <v>1.0</v>
      </c>
      <c r="E81" s="18">
        <v>0.0</v>
      </c>
      <c r="F81" s="18">
        <v>3.0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5" t="s">
        <v>20</v>
      </c>
      <c r="B82" s="17" t="s">
        <v>240</v>
      </c>
      <c r="C82" s="18">
        <v>0.0</v>
      </c>
      <c r="D82" s="18">
        <v>1.0</v>
      </c>
      <c r="E82" s="18">
        <v>0.0</v>
      </c>
      <c r="F82" s="18">
        <v>3.0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5" t="s">
        <v>20</v>
      </c>
      <c r="B83" s="17" t="s">
        <v>241</v>
      </c>
      <c r="C83" s="18">
        <v>0.0</v>
      </c>
      <c r="D83" s="18">
        <v>1.0</v>
      </c>
      <c r="E83" s="18">
        <v>0.0</v>
      </c>
      <c r="F83" s="18">
        <v>3.0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5" t="s">
        <v>20</v>
      </c>
      <c r="B84" s="17" t="s">
        <v>242</v>
      </c>
      <c r="C84" s="18">
        <v>1.0</v>
      </c>
      <c r="D84" s="18">
        <v>1.0</v>
      </c>
      <c r="E84" s="18">
        <v>0.0</v>
      </c>
      <c r="F84" s="18">
        <v>3.0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5" t="s">
        <v>20</v>
      </c>
      <c r="B85" s="17" t="s">
        <v>243</v>
      </c>
      <c r="C85" s="18">
        <v>0.0</v>
      </c>
      <c r="D85" s="18">
        <v>1.0</v>
      </c>
      <c r="E85" s="18">
        <v>0.0</v>
      </c>
      <c r="F85" s="18">
        <v>3.0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5" t="s">
        <v>20</v>
      </c>
      <c r="B86" s="17" t="s">
        <v>244</v>
      </c>
      <c r="C86" s="18">
        <v>0.0</v>
      </c>
      <c r="D86" s="18">
        <v>1.0</v>
      </c>
      <c r="E86" s="18">
        <v>0.0</v>
      </c>
      <c r="F86" s="18">
        <v>3.0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5" t="s">
        <v>20</v>
      </c>
      <c r="B87" s="17" t="s">
        <v>245</v>
      </c>
      <c r="C87" s="18">
        <v>0.0</v>
      </c>
      <c r="D87" s="18">
        <v>1.0</v>
      </c>
      <c r="E87" s="18">
        <v>0.0</v>
      </c>
      <c r="F87" s="18">
        <v>3.0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5" t="s">
        <v>21</v>
      </c>
      <c r="B88" s="17" t="s">
        <v>246</v>
      </c>
      <c r="C88" s="18">
        <v>0.0</v>
      </c>
      <c r="D88" s="18">
        <v>1.0</v>
      </c>
      <c r="E88" s="18">
        <v>0.0</v>
      </c>
      <c r="F88" s="18">
        <v>3.0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9" t="s">
        <v>22</v>
      </c>
      <c r="B89" s="17" t="s">
        <v>247</v>
      </c>
      <c r="C89" s="18">
        <v>0.0</v>
      </c>
      <c r="D89" s="18">
        <v>1.0</v>
      </c>
      <c r="E89" s="18">
        <v>0.0</v>
      </c>
      <c r="F89" s="18">
        <v>3.0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9" t="s">
        <v>22</v>
      </c>
      <c r="B90" s="17" t="s">
        <v>248</v>
      </c>
      <c r="C90" s="18">
        <v>0.0</v>
      </c>
      <c r="D90" s="18">
        <v>1.0</v>
      </c>
      <c r="E90" s="18">
        <v>0.0</v>
      </c>
      <c r="F90" s="18">
        <v>3.0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9" t="s">
        <v>23</v>
      </c>
      <c r="B91" s="17" t="s">
        <v>249</v>
      </c>
      <c r="C91" s="18">
        <v>2.0</v>
      </c>
      <c r="D91" s="18">
        <v>1.0</v>
      </c>
      <c r="E91" s="18">
        <v>0.0</v>
      </c>
      <c r="F91" s="18">
        <v>3.0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5" t="s">
        <v>24</v>
      </c>
      <c r="B92" s="17" t="s">
        <v>250</v>
      </c>
      <c r="C92" s="18">
        <v>0.0</v>
      </c>
      <c r="D92" s="18">
        <v>1.0</v>
      </c>
      <c r="E92" s="18">
        <v>0.0</v>
      </c>
      <c r="F92" s="18">
        <v>3.0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5" t="s">
        <v>24</v>
      </c>
      <c r="B93" s="17" t="s">
        <v>251</v>
      </c>
      <c r="C93" s="18">
        <v>1.0</v>
      </c>
      <c r="D93" s="18">
        <v>1.0</v>
      </c>
      <c r="E93" s="18">
        <v>0.0</v>
      </c>
      <c r="F93" s="18">
        <v>3.0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5" t="s">
        <v>24</v>
      </c>
      <c r="B94" s="17" t="s">
        <v>252</v>
      </c>
      <c r="C94" s="18">
        <v>2.0</v>
      </c>
      <c r="D94" s="18">
        <v>1.0</v>
      </c>
      <c r="E94" s="18">
        <v>0.0</v>
      </c>
      <c r="F94" s="18">
        <v>3.0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5" t="s">
        <v>24</v>
      </c>
      <c r="B95" s="17" t="s">
        <v>253</v>
      </c>
      <c r="C95" s="18">
        <v>1.0</v>
      </c>
      <c r="D95" s="18">
        <v>1.0</v>
      </c>
      <c r="E95" s="18">
        <v>0.0</v>
      </c>
      <c r="F95" s="18">
        <v>3.0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5" t="s">
        <v>26</v>
      </c>
      <c r="B96" s="17" t="s">
        <v>254</v>
      </c>
      <c r="C96" s="18">
        <v>3.0</v>
      </c>
      <c r="D96" s="18">
        <v>0.0</v>
      </c>
      <c r="E96" s="18">
        <v>0.0</v>
      </c>
      <c r="F96" s="18">
        <v>0.0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5" t="s">
        <v>26</v>
      </c>
      <c r="B97" s="17" t="s">
        <v>255</v>
      </c>
      <c r="C97" s="18">
        <v>3.0</v>
      </c>
      <c r="D97" s="18">
        <v>0.0</v>
      </c>
      <c r="E97" s="18">
        <v>0.0</v>
      </c>
      <c r="F97" s="18">
        <v>0.0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5" t="s">
        <v>27</v>
      </c>
      <c r="B98" s="17" t="s">
        <v>256</v>
      </c>
      <c r="C98" s="18">
        <v>0.0</v>
      </c>
      <c r="D98" s="18">
        <v>2.0</v>
      </c>
      <c r="E98" s="18">
        <v>0.0</v>
      </c>
      <c r="F98" s="18">
        <v>0.0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5" t="s">
        <v>27</v>
      </c>
      <c r="B99" s="17" t="s">
        <v>257</v>
      </c>
      <c r="C99" s="18">
        <v>0.0</v>
      </c>
      <c r="D99" s="18">
        <v>2.0</v>
      </c>
      <c r="E99" s="18">
        <v>0.0</v>
      </c>
      <c r="F99" s="18">
        <v>0.0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5" t="s">
        <v>29</v>
      </c>
      <c r="B100" s="17" t="s">
        <v>258</v>
      </c>
      <c r="C100" s="18">
        <v>2.0</v>
      </c>
      <c r="D100" s="18">
        <v>2.0</v>
      </c>
      <c r="E100" s="18">
        <v>0.0</v>
      </c>
      <c r="F100" s="18">
        <v>0.0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9" t="s">
        <v>28</v>
      </c>
      <c r="B101" s="17" t="s">
        <v>259</v>
      </c>
      <c r="C101" s="18">
        <v>1.0</v>
      </c>
      <c r="D101" s="18">
        <v>1.0</v>
      </c>
      <c r="E101" s="18">
        <v>0.0</v>
      </c>
      <c r="F101" s="18">
        <v>0.0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5" t="s">
        <v>30</v>
      </c>
      <c r="B102" s="17" t="s">
        <v>260</v>
      </c>
      <c r="C102" s="18">
        <v>3.0</v>
      </c>
      <c r="D102" s="18">
        <v>1.0</v>
      </c>
      <c r="E102" s="18">
        <v>0.0</v>
      </c>
      <c r="F102" s="18">
        <v>0.0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5" t="s">
        <v>30</v>
      </c>
      <c r="B103" s="17" t="s">
        <v>261</v>
      </c>
      <c r="C103" s="18">
        <v>3.0</v>
      </c>
      <c r="D103" s="18">
        <v>2.0</v>
      </c>
      <c r="E103" s="18">
        <v>0.0</v>
      </c>
      <c r="F103" s="18">
        <v>0.0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9" t="s">
        <v>32</v>
      </c>
      <c r="B104" s="17" t="s">
        <v>262</v>
      </c>
      <c r="C104" s="18">
        <v>3.0</v>
      </c>
      <c r="D104" s="18">
        <v>3.0</v>
      </c>
      <c r="E104" s="18">
        <v>0.0</v>
      </c>
      <c r="F104" s="18">
        <v>0.0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9" t="s">
        <v>32</v>
      </c>
      <c r="B105" s="17" t="s">
        <v>263</v>
      </c>
      <c r="C105" s="18">
        <v>3.0</v>
      </c>
      <c r="D105" s="18">
        <v>3.0</v>
      </c>
      <c r="E105" s="18">
        <v>0.0</v>
      </c>
      <c r="F105" s="18">
        <v>0.0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7" t="s">
        <v>34</v>
      </c>
      <c r="B106" s="17" t="s">
        <v>34</v>
      </c>
      <c r="C106" s="18">
        <v>0.0</v>
      </c>
      <c r="D106" s="18">
        <v>1.0</v>
      </c>
      <c r="E106" s="18">
        <v>0.0</v>
      </c>
      <c r="F106" s="18">
        <v>0.0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5" t="s">
        <v>35</v>
      </c>
      <c r="B107" s="17" t="s">
        <v>264</v>
      </c>
      <c r="C107" s="18">
        <v>0.0</v>
      </c>
      <c r="D107" s="18">
        <v>1.0</v>
      </c>
      <c r="E107" s="18">
        <v>0.0</v>
      </c>
      <c r="F107" s="18">
        <v>1.0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5" t="s">
        <v>35</v>
      </c>
      <c r="B108" s="17" t="s">
        <v>265</v>
      </c>
      <c r="C108" s="18">
        <v>1.0</v>
      </c>
      <c r="D108" s="18">
        <v>1.0</v>
      </c>
      <c r="E108" s="18">
        <v>0.0</v>
      </c>
      <c r="F108" s="18">
        <v>1.0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5" t="s">
        <v>35</v>
      </c>
      <c r="B109" s="17" t="s">
        <v>266</v>
      </c>
      <c r="C109" s="18">
        <v>0.0</v>
      </c>
      <c r="D109" s="18">
        <v>1.0</v>
      </c>
      <c r="E109" s="18">
        <v>0.0</v>
      </c>
      <c r="F109" s="18">
        <v>1.0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5" t="s">
        <v>36</v>
      </c>
      <c r="B110" s="17" t="s">
        <v>267</v>
      </c>
      <c r="C110" s="18">
        <v>2.0</v>
      </c>
      <c r="D110" s="18">
        <v>1.0</v>
      </c>
      <c r="E110" s="18">
        <v>0.0</v>
      </c>
      <c r="F110" s="18">
        <v>1.0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5" t="s">
        <v>36</v>
      </c>
      <c r="B111" s="17" t="s">
        <v>268</v>
      </c>
      <c r="C111" s="18">
        <v>2.0</v>
      </c>
      <c r="D111" s="18">
        <v>1.0</v>
      </c>
      <c r="E111" s="18">
        <v>0.0</v>
      </c>
      <c r="F111" s="18">
        <v>1.0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5" t="s">
        <v>36</v>
      </c>
      <c r="B112" s="17" t="s">
        <v>269</v>
      </c>
      <c r="C112" s="18">
        <v>2.0</v>
      </c>
      <c r="D112" s="18">
        <v>1.0</v>
      </c>
      <c r="E112" s="18">
        <v>0.0</v>
      </c>
      <c r="F112" s="18">
        <v>1.0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5" t="s">
        <v>36</v>
      </c>
      <c r="B113" s="17" t="s">
        <v>270</v>
      </c>
      <c r="C113" s="18">
        <v>2.0</v>
      </c>
      <c r="D113" s="18">
        <v>1.0</v>
      </c>
      <c r="E113" s="18">
        <v>0.0</v>
      </c>
      <c r="F113" s="18">
        <v>1.0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9" t="s">
        <v>37</v>
      </c>
      <c r="B114" s="17" t="s">
        <v>271</v>
      </c>
      <c r="C114" s="18">
        <v>3.0</v>
      </c>
      <c r="D114" s="18">
        <v>1.0</v>
      </c>
      <c r="E114" s="18">
        <v>0.0</v>
      </c>
      <c r="F114" s="18">
        <v>2.0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9" t="s">
        <v>37</v>
      </c>
      <c r="B115" s="17" t="s">
        <v>272</v>
      </c>
      <c r="C115" s="18">
        <v>0.0</v>
      </c>
      <c r="D115" s="18">
        <v>0.0</v>
      </c>
      <c r="E115" s="18">
        <v>0.0</v>
      </c>
      <c r="F115" s="18">
        <v>2.0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9" t="s">
        <v>37</v>
      </c>
      <c r="B116" s="17" t="s">
        <v>273</v>
      </c>
      <c r="C116" s="18">
        <v>0.0</v>
      </c>
      <c r="D116" s="18">
        <v>0.0</v>
      </c>
      <c r="E116" s="18">
        <v>0.0</v>
      </c>
      <c r="F116" s="18">
        <v>2.0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5" t="s">
        <v>39</v>
      </c>
      <c r="B117" s="17" t="s">
        <v>274</v>
      </c>
      <c r="C117" s="18">
        <v>0.0</v>
      </c>
      <c r="D117" s="18">
        <v>0.0</v>
      </c>
      <c r="E117" s="18">
        <v>2.0</v>
      </c>
      <c r="F117" s="18">
        <v>3.0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5" t="s">
        <v>39</v>
      </c>
      <c r="B118" s="17" t="s">
        <v>275</v>
      </c>
      <c r="C118" s="18">
        <v>0.0</v>
      </c>
      <c r="D118" s="18">
        <v>0.0</v>
      </c>
      <c r="E118" s="18">
        <v>2.0</v>
      </c>
      <c r="F118" s="18">
        <v>3.0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5" t="s">
        <v>38</v>
      </c>
      <c r="B119" s="17" t="s">
        <v>276</v>
      </c>
      <c r="C119" s="18">
        <v>2.0</v>
      </c>
      <c r="D119" s="18">
        <v>1.0</v>
      </c>
      <c r="E119" s="18">
        <v>3.0</v>
      </c>
      <c r="F119" s="18">
        <v>1.0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5" t="s">
        <v>38</v>
      </c>
      <c r="B120" s="17" t="s">
        <v>277</v>
      </c>
      <c r="C120" s="18">
        <v>1.0</v>
      </c>
      <c r="D120" s="18">
        <v>1.0</v>
      </c>
      <c r="E120" s="18">
        <v>3.0</v>
      </c>
      <c r="F120" s="18">
        <v>1.0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5" t="s">
        <v>38</v>
      </c>
      <c r="B121" s="17" t="s">
        <v>278</v>
      </c>
      <c r="C121" s="18">
        <v>2.0</v>
      </c>
      <c r="D121" s="18">
        <v>1.0</v>
      </c>
      <c r="E121" s="18">
        <v>1.0</v>
      </c>
      <c r="F121" s="18">
        <v>1.0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5" t="s">
        <v>38</v>
      </c>
      <c r="B122" s="17" t="s">
        <v>279</v>
      </c>
      <c r="C122" s="18">
        <v>2.0</v>
      </c>
      <c r="D122" s="18">
        <v>1.0</v>
      </c>
      <c r="E122" s="18">
        <v>1.0</v>
      </c>
      <c r="F122" s="18">
        <v>1.0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5" t="s">
        <v>38</v>
      </c>
      <c r="B123" s="17" t="s">
        <v>280</v>
      </c>
      <c r="C123" s="18">
        <v>2.0</v>
      </c>
      <c r="D123" s="18">
        <v>1.0</v>
      </c>
      <c r="E123" s="18">
        <v>1.0</v>
      </c>
      <c r="F123" s="18">
        <v>1.0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5" t="s">
        <v>40</v>
      </c>
      <c r="B124" s="17" t="s">
        <v>281</v>
      </c>
      <c r="C124" s="18">
        <v>3.0</v>
      </c>
      <c r="D124" s="18">
        <v>1.0</v>
      </c>
      <c r="E124" s="18">
        <v>1.0</v>
      </c>
      <c r="F124" s="18">
        <v>0.0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5" t="s">
        <v>40</v>
      </c>
      <c r="B125" s="17" t="s">
        <v>282</v>
      </c>
      <c r="C125" s="18">
        <v>3.0</v>
      </c>
      <c r="D125" s="18">
        <v>1.0</v>
      </c>
      <c r="E125" s="18">
        <v>1.0</v>
      </c>
      <c r="F125" s="18">
        <v>0.0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5" t="s">
        <v>42</v>
      </c>
      <c r="B126" s="17" t="s">
        <v>283</v>
      </c>
      <c r="C126" s="18">
        <v>1.0</v>
      </c>
      <c r="D126" s="18">
        <v>1.0</v>
      </c>
      <c r="E126" s="18">
        <v>0.0</v>
      </c>
      <c r="F126" s="18">
        <v>3.0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5" t="s">
        <v>42</v>
      </c>
      <c r="B127" s="17" t="s">
        <v>284</v>
      </c>
      <c r="C127" s="18">
        <v>1.0</v>
      </c>
      <c r="D127" s="18">
        <v>1.0</v>
      </c>
      <c r="E127" s="18">
        <v>0.0</v>
      </c>
      <c r="F127" s="18">
        <v>1.0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7" t="s">
        <v>41</v>
      </c>
      <c r="B128" s="17" t="s">
        <v>41</v>
      </c>
      <c r="C128" s="18">
        <v>0.0</v>
      </c>
      <c r="D128" s="18">
        <v>0.0</v>
      </c>
      <c r="E128" s="18">
        <v>1.0</v>
      </c>
      <c r="F128" s="18">
        <v>1.0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7" t="s">
        <v>43</v>
      </c>
      <c r="B129" s="17" t="s">
        <v>43</v>
      </c>
      <c r="C129" s="18">
        <v>0.0</v>
      </c>
      <c r="D129" s="18">
        <v>0.0</v>
      </c>
      <c r="E129" s="18">
        <v>0.0</v>
      </c>
      <c r="F129" s="18">
        <v>1.0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5" t="s">
        <v>44</v>
      </c>
      <c r="B130" s="17" t="s">
        <v>285</v>
      </c>
      <c r="C130" s="18">
        <v>0.0</v>
      </c>
      <c r="D130" s="18">
        <v>1.0</v>
      </c>
      <c r="E130" s="18">
        <v>0.0</v>
      </c>
      <c r="F130" s="18">
        <v>1.0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5" t="s">
        <v>44</v>
      </c>
      <c r="B131" s="17" t="s">
        <v>286</v>
      </c>
      <c r="C131" s="18">
        <v>1.0</v>
      </c>
      <c r="D131" s="18">
        <v>1.0</v>
      </c>
      <c r="E131" s="18">
        <v>0.0</v>
      </c>
      <c r="F131" s="18">
        <v>1.0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5" t="s">
        <v>44</v>
      </c>
      <c r="B132" s="17" t="s">
        <v>287</v>
      </c>
      <c r="C132" s="18">
        <v>0.0</v>
      </c>
      <c r="D132" s="18">
        <v>1.0</v>
      </c>
      <c r="E132" s="18">
        <v>2.0</v>
      </c>
      <c r="F132" s="18">
        <v>1.0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5" t="s">
        <v>44</v>
      </c>
      <c r="B133" s="17" t="s">
        <v>288</v>
      </c>
      <c r="C133" s="18">
        <v>2.0</v>
      </c>
      <c r="D133" s="18">
        <v>1.0</v>
      </c>
      <c r="E133" s="18">
        <v>0.0</v>
      </c>
      <c r="F133" s="18">
        <v>1.0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7" t="s">
        <v>45</v>
      </c>
      <c r="B134" s="17" t="s">
        <v>45</v>
      </c>
      <c r="C134" s="18">
        <v>3.0</v>
      </c>
      <c r="D134" s="18">
        <v>1.0</v>
      </c>
      <c r="E134" s="18">
        <v>0.0</v>
      </c>
      <c r="F134" s="18">
        <v>1.0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20" t="s">
        <v>46</v>
      </c>
      <c r="B135" s="20" t="s">
        <v>46</v>
      </c>
      <c r="C135" s="18">
        <v>2.0</v>
      </c>
      <c r="D135" s="18">
        <v>1.0</v>
      </c>
      <c r="E135" s="18">
        <v>0.0</v>
      </c>
      <c r="F135" s="18">
        <v>1.0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5" t="s">
        <v>47</v>
      </c>
      <c r="B136" s="20" t="s">
        <v>289</v>
      </c>
      <c r="C136" s="18">
        <v>0.0</v>
      </c>
      <c r="D136" s="18">
        <v>0.0</v>
      </c>
      <c r="E136" s="18">
        <v>0.0</v>
      </c>
      <c r="F136" s="18">
        <v>0.0</v>
      </c>
      <c r="G136" s="15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5" t="s">
        <v>48</v>
      </c>
      <c r="B137" s="20" t="s">
        <v>290</v>
      </c>
      <c r="C137" s="18">
        <v>0.0</v>
      </c>
      <c r="D137" s="18">
        <v>1.0</v>
      </c>
      <c r="E137" s="18">
        <v>0.0</v>
      </c>
      <c r="F137" s="18">
        <v>0.0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9" t="s">
        <v>49</v>
      </c>
      <c r="B138" s="20" t="s">
        <v>49</v>
      </c>
      <c r="C138" s="18">
        <v>0.0</v>
      </c>
      <c r="D138" s="18">
        <v>1.0</v>
      </c>
      <c r="E138" s="18">
        <v>1.0</v>
      </c>
      <c r="F138" s="18">
        <v>1.0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5" t="s">
        <v>50</v>
      </c>
      <c r="B139" s="20" t="s">
        <v>291</v>
      </c>
      <c r="C139" s="18">
        <v>2.0</v>
      </c>
      <c r="D139" s="18">
        <v>1.0</v>
      </c>
      <c r="E139" s="18">
        <v>3.0</v>
      </c>
      <c r="F139" s="18">
        <v>1.0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5" t="s">
        <v>50</v>
      </c>
      <c r="B140" s="20" t="s">
        <v>292</v>
      </c>
      <c r="C140" s="18">
        <v>2.0</v>
      </c>
      <c r="D140" s="18">
        <v>2.0</v>
      </c>
      <c r="E140" s="18">
        <v>3.0</v>
      </c>
      <c r="F140" s="18">
        <v>1.0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20" t="s">
        <v>51</v>
      </c>
      <c r="B141" s="20" t="s">
        <v>51</v>
      </c>
      <c r="C141" s="18">
        <v>1.0</v>
      </c>
      <c r="D141" s="18">
        <v>1.0</v>
      </c>
      <c r="E141" s="18">
        <v>1.0</v>
      </c>
      <c r="F141" s="18">
        <v>3.0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20" t="s">
        <v>52</v>
      </c>
      <c r="B142" s="20" t="s">
        <v>52</v>
      </c>
      <c r="C142" s="18">
        <v>0.0</v>
      </c>
      <c r="D142" s="18">
        <v>1.0</v>
      </c>
      <c r="E142" s="18">
        <v>1.0</v>
      </c>
      <c r="F142" s="18">
        <v>3.0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20" t="s">
        <v>53</v>
      </c>
      <c r="B143" s="20" t="s">
        <v>53</v>
      </c>
      <c r="C143" s="18">
        <v>0.0</v>
      </c>
      <c r="D143" s="18">
        <v>1.0</v>
      </c>
      <c r="E143" s="18">
        <v>0.0</v>
      </c>
      <c r="F143" s="18">
        <v>3.0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20" t="s">
        <v>54</v>
      </c>
      <c r="B144" s="20" t="s">
        <v>54</v>
      </c>
      <c r="C144" s="18">
        <v>2.0</v>
      </c>
      <c r="D144" s="18">
        <v>1.0</v>
      </c>
      <c r="E144" s="18">
        <v>0.0</v>
      </c>
      <c r="F144" s="18">
        <v>1.0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20" t="s">
        <v>55</v>
      </c>
      <c r="B145" s="20" t="s">
        <v>55</v>
      </c>
      <c r="C145" s="18">
        <v>0.0</v>
      </c>
      <c r="D145" s="18">
        <v>1.0</v>
      </c>
      <c r="E145" s="18">
        <v>0.0</v>
      </c>
      <c r="F145" s="18">
        <v>1.0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5" t="s">
        <v>57</v>
      </c>
      <c r="B146" s="20" t="s">
        <v>293</v>
      </c>
      <c r="C146" s="18">
        <v>2.0</v>
      </c>
      <c r="D146" s="18">
        <v>1.0</v>
      </c>
      <c r="E146" s="18">
        <v>1.0</v>
      </c>
      <c r="F146" s="18">
        <v>2.0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5" t="s">
        <v>57</v>
      </c>
      <c r="B147" s="20" t="s">
        <v>294</v>
      </c>
      <c r="C147" s="18">
        <v>2.0</v>
      </c>
      <c r="D147" s="18">
        <v>1.0</v>
      </c>
      <c r="E147" s="18">
        <v>1.0</v>
      </c>
      <c r="F147" s="18">
        <v>2.0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5" t="s">
        <v>57</v>
      </c>
      <c r="B148" s="20" t="s">
        <v>295</v>
      </c>
      <c r="C148" s="18">
        <v>3.0</v>
      </c>
      <c r="D148" s="18">
        <v>2.0</v>
      </c>
      <c r="E148" s="18">
        <v>1.0</v>
      </c>
      <c r="F148" s="18">
        <v>3.0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5" t="s">
        <v>57</v>
      </c>
      <c r="B149" s="20" t="s">
        <v>296</v>
      </c>
      <c r="C149" s="18" t="s">
        <v>297</v>
      </c>
      <c r="D149" s="18" t="s">
        <v>297</v>
      </c>
      <c r="E149" s="18" t="s">
        <v>297</v>
      </c>
      <c r="F149" s="18" t="s">
        <v>297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5" t="s">
        <v>57</v>
      </c>
      <c r="B150" s="20" t="s">
        <v>298</v>
      </c>
      <c r="C150" s="18">
        <v>2.0</v>
      </c>
      <c r="D150" s="18">
        <v>2.0</v>
      </c>
      <c r="E150" s="18">
        <v>1.0</v>
      </c>
      <c r="F150" s="18">
        <v>2.0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5" t="s">
        <v>57</v>
      </c>
      <c r="B151" s="20" t="s">
        <v>299</v>
      </c>
      <c r="C151" s="18">
        <v>1.0</v>
      </c>
      <c r="D151" s="18">
        <v>2.0</v>
      </c>
      <c r="E151" s="18">
        <v>1.0</v>
      </c>
      <c r="F151" s="18">
        <v>2.0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5" t="s">
        <v>57</v>
      </c>
      <c r="B152" s="20" t="s">
        <v>300</v>
      </c>
      <c r="C152" s="18">
        <v>2.0</v>
      </c>
      <c r="D152" s="18" t="s">
        <v>301</v>
      </c>
      <c r="E152" s="18">
        <v>1.0</v>
      </c>
      <c r="F152" s="18" t="s">
        <v>302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5" t="s">
        <v>57</v>
      </c>
      <c r="B153" s="20" t="s">
        <v>303</v>
      </c>
      <c r="C153" s="18">
        <v>1.0</v>
      </c>
      <c r="D153" s="18">
        <v>2.0</v>
      </c>
      <c r="E153" s="18">
        <v>1.0</v>
      </c>
      <c r="F153" s="18">
        <v>2.0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5" t="s">
        <v>57</v>
      </c>
      <c r="B154" s="20" t="s">
        <v>304</v>
      </c>
      <c r="C154" s="18">
        <v>2.0</v>
      </c>
      <c r="D154" s="18">
        <v>2.0</v>
      </c>
      <c r="E154" s="18">
        <v>1.0</v>
      </c>
      <c r="F154" s="18">
        <v>2.0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5" t="s">
        <v>58</v>
      </c>
      <c r="B155" s="20" t="s">
        <v>305</v>
      </c>
      <c r="C155" s="18">
        <v>1.0</v>
      </c>
      <c r="D155" s="18">
        <v>1.0</v>
      </c>
      <c r="E155" s="18">
        <v>1.0</v>
      </c>
      <c r="F155" s="18">
        <v>1.0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5" t="s">
        <v>58</v>
      </c>
      <c r="B156" s="20" t="s">
        <v>306</v>
      </c>
      <c r="C156" s="18">
        <v>2.0</v>
      </c>
      <c r="D156" s="18">
        <v>1.0</v>
      </c>
      <c r="E156" s="18">
        <v>1.0</v>
      </c>
      <c r="F156" s="18">
        <v>1.0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5" t="s">
        <v>59</v>
      </c>
      <c r="B157" s="20" t="s">
        <v>307</v>
      </c>
      <c r="C157" s="18">
        <v>2.0</v>
      </c>
      <c r="D157" s="18">
        <v>3.0</v>
      </c>
      <c r="E157" s="18">
        <v>1.0</v>
      </c>
      <c r="F157" s="18">
        <v>3.0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5" t="s">
        <v>59</v>
      </c>
      <c r="B158" s="20" t="s">
        <v>308</v>
      </c>
      <c r="C158" s="18">
        <v>2.0</v>
      </c>
      <c r="D158" s="18">
        <v>1.0</v>
      </c>
      <c r="E158" s="18">
        <v>1.0</v>
      </c>
      <c r="F158" s="18">
        <v>2.0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5" t="s">
        <v>60</v>
      </c>
      <c r="B159" s="20" t="s">
        <v>309</v>
      </c>
      <c r="C159" s="18">
        <v>1.0</v>
      </c>
      <c r="D159" s="18">
        <v>1.0</v>
      </c>
      <c r="E159" s="18">
        <v>1.0</v>
      </c>
      <c r="F159" s="18">
        <v>3.0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5" t="s">
        <v>61</v>
      </c>
      <c r="B160" s="20" t="s">
        <v>310</v>
      </c>
      <c r="C160" s="18">
        <v>3.0</v>
      </c>
      <c r="D160" s="18">
        <v>1.0</v>
      </c>
      <c r="E160" s="18">
        <v>1.0</v>
      </c>
      <c r="F160" s="18">
        <v>3.0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5" t="s">
        <v>61</v>
      </c>
      <c r="B161" s="20" t="s">
        <v>311</v>
      </c>
      <c r="C161" s="18">
        <v>3.0</v>
      </c>
      <c r="D161" s="18">
        <v>1.0</v>
      </c>
      <c r="E161" s="18">
        <v>1.0</v>
      </c>
      <c r="F161" s="18">
        <v>3.0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5" t="s">
        <v>61</v>
      </c>
      <c r="B162" s="20" t="s">
        <v>312</v>
      </c>
      <c r="C162" s="18">
        <v>3.0</v>
      </c>
      <c r="D162" s="18">
        <v>1.0</v>
      </c>
      <c r="E162" s="18">
        <v>1.0</v>
      </c>
      <c r="F162" s="18">
        <v>3.0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5" t="s">
        <v>61</v>
      </c>
      <c r="B163" s="20" t="s">
        <v>313</v>
      </c>
      <c r="C163" s="18">
        <v>2.0</v>
      </c>
      <c r="D163" s="18">
        <v>1.0</v>
      </c>
      <c r="E163" s="18">
        <v>1.0</v>
      </c>
      <c r="F163" s="18">
        <v>3.0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5" t="s">
        <v>61</v>
      </c>
      <c r="B164" s="20" t="s">
        <v>314</v>
      </c>
      <c r="C164" s="18">
        <v>3.0</v>
      </c>
      <c r="D164" s="18">
        <v>1.0</v>
      </c>
      <c r="E164" s="18">
        <v>1.0</v>
      </c>
      <c r="F164" s="18">
        <v>3.0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5" t="s">
        <v>61</v>
      </c>
      <c r="B165" s="20" t="s">
        <v>315</v>
      </c>
      <c r="C165" s="18">
        <v>3.0</v>
      </c>
      <c r="D165" s="18">
        <v>2.0</v>
      </c>
      <c r="E165" s="18">
        <v>1.0</v>
      </c>
      <c r="F165" s="18">
        <v>3.0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5" t="s">
        <v>62</v>
      </c>
      <c r="B166" s="20" t="s">
        <v>316</v>
      </c>
      <c r="C166" s="18">
        <v>1.0</v>
      </c>
      <c r="D166" s="18">
        <v>1.0</v>
      </c>
      <c r="E166" s="18">
        <v>1.0</v>
      </c>
      <c r="F166" s="18">
        <v>1.0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5" t="s">
        <v>62</v>
      </c>
      <c r="B167" s="20" t="s">
        <v>317</v>
      </c>
      <c r="C167" s="18">
        <v>2.0</v>
      </c>
      <c r="D167" s="18">
        <v>1.0</v>
      </c>
      <c r="E167" s="18">
        <v>1.0</v>
      </c>
      <c r="F167" s="18">
        <v>1.0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5" t="s">
        <v>62</v>
      </c>
      <c r="B168" s="20" t="s">
        <v>318</v>
      </c>
      <c r="C168" s="18">
        <v>1.0</v>
      </c>
      <c r="D168" s="18">
        <v>1.0</v>
      </c>
      <c r="E168" s="18">
        <v>1.0</v>
      </c>
      <c r="F168" s="18">
        <v>1.0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5" t="s">
        <v>62</v>
      </c>
      <c r="B169" s="20" t="s">
        <v>319</v>
      </c>
      <c r="C169" s="18">
        <v>2.0</v>
      </c>
      <c r="D169" s="18">
        <v>1.0</v>
      </c>
      <c r="E169" s="18">
        <v>1.0</v>
      </c>
      <c r="F169" s="18">
        <v>3.0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5" t="s">
        <v>62</v>
      </c>
      <c r="B170" s="20" t="s">
        <v>320</v>
      </c>
      <c r="C170" s="18">
        <v>2.0</v>
      </c>
      <c r="D170" s="18">
        <v>1.0</v>
      </c>
      <c r="E170" s="18">
        <v>1.0</v>
      </c>
      <c r="F170" s="18">
        <v>3.0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5" t="s">
        <v>62</v>
      </c>
      <c r="B171" s="20" t="s">
        <v>321</v>
      </c>
      <c r="C171" s="18">
        <v>1.0</v>
      </c>
      <c r="D171" s="18">
        <v>1.0</v>
      </c>
      <c r="E171" s="18">
        <v>1.0</v>
      </c>
      <c r="F171" s="18">
        <v>2.0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5" t="s">
        <v>63</v>
      </c>
      <c r="B172" s="20" t="s">
        <v>322</v>
      </c>
      <c r="C172" s="18">
        <v>3.0</v>
      </c>
      <c r="D172" s="18">
        <v>1.0</v>
      </c>
      <c r="E172" s="18">
        <v>1.0</v>
      </c>
      <c r="F172" s="18">
        <v>2.0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5" t="s">
        <v>63</v>
      </c>
      <c r="B173" s="20" t="s">
        <v>323</v>
      </c>
      <c r="C173" s="18">
        <v>3.0</v>
      </c>
      <c r="D173" s="18">
        <v>1.0</v>
      </c>
      <c r="E173" s="18">
        <v>1.0</v>
      </c>
      <c r="F173" s="18">
        <v>2.0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5" t="s">
        <v>65</v>
      </c>
      <c r="B174" s="20" t="s">
        <v>324</v>
      </c>
      <c r="C174" s="18">
        <v>2.0</v>
      </c>
      <c r="D174" s="18">
        <v>1.0</v>
      </c>
      <c r="E174" s="18">
        <v>1.0</v>
      </c>
      <c r="F174" s="18">
        <v>3.0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5" t="s">
        <v>66</v>
      </c>
      <c r="B175" s="20" t="s">
        <v>325</v>
      </c>
      <c r="C175" s="18">
        <v>1.0</v>
      </c>
      <c r="D175" s="18">
        <v>1.0</v>
      </c>
      <c r="E175" s="18">
        <v>1.0</v>
      </c>
      <c r="F175" s="18">
        <v>1.0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5" t="s">
        <v>67</v>
      </c>
      <c r="B176" s="20" t="s">
        <v>326</v>
      </c>
      <c r="C176" s="18">
        <v>1.0</v>
      </c>
      <c r="D176" s="18">
        <v>2.0</v>
      </c>
      <c r="E176" s="18">
        <v>1.0</v>
      </c>
      <c r="F176" s="18">
        <v>3.0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5" t="s">
        <v>69</v>
      </c>
      <c r="B177" s="20" t="s">
        <v>327</v>
      </c>
      <c r="C177" s="18">
        <v>3.0</v>
      </c>
      <c r="D177" s="18">
        <v>3.0</v>
      </c>
      <c r="E177" s="18">
        <v>0.0</v>
      </c>
      <c r="F177" s="18">
        <v>0.0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5" t="s">
        <v>70</v>
      </c>
      <c r="B178" s="20" t="s">
        <v>328</v>
      </c>
      <c r="C178" s="18">
        <v>0.0</v>
      </c>
      <c r="D178" s="18">
        <v>2.0</v>
      </c>
      <c r="E178" s="18">
        <v>0.0</v>
      </c>
      <c r="F178" s="18">
        <v>2.0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5" t="s">
        <v>70</v>
      </c>
      <c r="B179" s="20" t="s">
        <v>329</v>
      </c>
      <c r="C179" s="18">
        <v>1.0</v>
      </c>
      <c r="D179" s="18">
        <v>2.0</v>
      </c>
      <c r="E179" s="18">
        <v>0.0</v>
      </c>
      <c r="F179" s="18">
        <v>2.0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5" t="s">
        <v>70</v>
      </c>
      <c r="B180" s="20" t="s">
        <v>330</v>
      </c>
      <c r="C180" s="18">
        <v>0.0</v>
      </c>
      <c r="D180" s="18">
        <v>3.0</v>
      </c>
      <c r="E180" s="18">
        <v>1.0</v>
      </c>
      <c r="F180" s="18">
        <v>3.0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5" t="s">
        <v>70</v>
      </c>
      <c r="B181" s="20" t="s">
        <v>331</v>
      </c>
      <c r="C181" s="18">
        <v>0.0</v>
      </c>
      <c r="D181" s="18">
        <v>3.0</v>
      </c>
      <c r="E181" s="18">
        <v>0.0</v>
      </c>
      <c r="F181" s="18">
        <v>1.0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5" t="s">
        <v>70</v>
      </c>
      <c r="B182" s="20" t="s">
        <v>332</v>
      </c>
      <c r="C182" s="18">
        <v>0.0</v>
      </c>
      <c r="D182" s="18">
        <v>2.0</v>
      </c>
      <c r="E182" s="18">
        <v>0.0</v>
      </c>
      <c r="F182" s="18">
        <v>2.0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5" t="s">
        <v>70</v>
      </c>
      <c r="B183" s="20" t="s">
        <v>333</v>
      </c>
      <c r="C183" s="18">
        <v>0.0</v>
      </c>
      <c r="D183" s="18">
        <v>2.0</v>
      </c>
      <c r="E183" s="18">
        <v>0.0</v>
      </c>
      <c r="F183" s="18">
        <v>3.0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5" t="s">
        <v>70</v>
      </c>
      <c r="B184" s="20" t="s">
        <v>334</v>
      </c>
      <c r="C184" s="18">
        <v>0.0</v>
      </c>
      <c r="D184" s="18">
        <v>2.0</v>
      </c>
      <c r="E184" s="18">
        <v>0.0</v>
      </c>
      <c r="F184" s="18">
        <v>2.0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5" t="s">
        <v>70</v>
      </c>
      <c r="B185" s="20" t="s">
        <v>335</v>
      </c>
      <c r="C185" s="18">
        <v>0.0</v>
      </c>
      <c r="D185" s="18">
        <v>2.0</v>
      </c>
      <c r="E185" s="18">
        <v>0.0</v>
      </c>
      <c r="F185" s="18">
        <v>2.0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5" t="s">
        <v>70</v>
      </c>
      <c r="B186" s="20" t="s">
        <v>336</v>
      </c>
      <c r="C186" s="18">
        <v>1.0</v>
      </c>
      <c r="D186" s="18">
        <v>2.0</v>
      </c>
      <c r="E186" s="18">
        <v>1.0</v>
      </c>
      <c r="F186" s="18">
        <v>3.0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5" t="s">
        <v>70</v>
      </c>
      <c r="B187" s="20" t="s">
        <v>337</v>
      </c>
      <c r="C187" s="18">
        <v>1.0</v>
      </c>
      <c r="D187" s="18">
        <v>2.0</v>
      </c>
      <c r="E187" s="18">
        <v>1.0</v>
      </c>
      <c r="F187" s="18">
        <v>2.0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5" t="s">
        <v>70</v>
      </c>
      <c r="B188" s="20" t="s">
        <v>338</v>
      </c>
      <c r="C188" s="18">
        <v>0.0</v>
      </c>
      <c r="D188" s="18">
        <v>3.0</v>
      </c>
      <c r="E188" s="18">
        <v>0.0</v>
      </c>
      <c r="F188" s="18">
        <v>3.0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5" t="s">
        <v>71</v>
      </c>
      <c r="B189" s="20" t="s">
        <v>339</v>
      </c>
      <c r="C189" s="18">
        <v>1.0</v>
      </c>
      <c r="D189" s="18">
        <v>2.0</v>
      </c>
      <c r="E189" s="18">
        <v>0.0</v>
      </c>
      <c r="F189" s="18">
        <v>3.0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5" t="s">
        <v>71</v>
      </c>
      <c r="B190" s="20" t="s">
        <v>340</v>
      </c>
      <c r="C190" s="18">
        <v>1.0</v>
      </c>
      <c r="D190" s="18">
        <v>2.0</v>
      </c>
      <c r="E190" s="18">
        <v>0.0</v>
      </c>
      <c r="F190" s="18">
        <v>3.0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5" t="s">
        <v>71</v>
      </c>
      <c r="B191" s="20" t="s">
        <v>341</v>
      </c>
      <c r="C191" s="18" t="s">
        <v>297</v>
      </c>
      <c r="D191" s="18" t="s">
        <v>297</v>
      </c>
      <c r="E191" s="18" t="s">
        <v>297</v>
      </c>
      <c r="F191" s="18" t="s">
        <v>297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5" t="s">
        <v>72</v>
      </c>
      <c r="B192" s="20" t="s">
        <v>342</v>
      </c>
      <c r="C192" s="18">
        <v>1.0</v>
      </c>
      <c r="D192" s="18">
        <v>3.0</v>
      </c>
      <c r="E192" s="18">
        <v>0.0</v>
      </c>
      <c r="F192" s="18">
        <v>1.0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5" t="s">
        <v>73</v>
      </c>
      <c r="B193" s="20" t="s">
        <v>343</v>
      </c>
      <c r="C193" s="18">
        <v>0.0</v>
      </c>
      <c r="D193" s="18">
        <v>2.0</v>
      </c>
      <c r="E193" s="18">
        <v>0.0</v>
      </c>
      <c r="F193" s="18">
        <v>1.0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5" t="s">
        <v>74</v>
      </c>
      <c r="B194" s="20" t="s">
        <v>344</v>
      </c>
      <c r="C194" s="18">
        <v>0.0</v>
      </c>
      <c r="D194" s="18">
        <v>3.0</v>
      </c>
      <c r="E194" s="18">
        <v>0.0</v>
      </c>
      <c r="F194" s="18">
        <v>3.0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5" t="s">
        <v>74</v>
      </c>
      <c r="B195" s="20" t="s">
        <v>345</v>
      </c>
      <c r="C195" s="18">
        <v>1.0</v>
      </c>
      <c r="D195" s="18">
        <v>3.0</v>
      </c>
      <c r="E195" s="18">
        <v>0.0</v>
      </c>
      <c r="F195" s="18">
        <v>2.0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5" t="s">
        <v>75</v>
      </c>
      <c r="B196" s="20" t="s">
        <v>346</v>
      </c>
      <c r="C196" s="18">
        <v>1.0</v>
      </c>
      <c r="D196" s="18">
        <v>3.0</v>
      </c>
      <c r="E196" s="18">
        <v>0.0</v>
      </c>
      <c r="F196" s="18">
        <v>2.0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5" t="s">
        <v>75</v>
      </c>
      <c r="B197" s="20" t="s">
        <v>347</v>
      </c>
      <c r="C197" s="18">
        <v>1.0</v>
      </c>
      <c r="D197" s="18">
        <v>3.0</v>
      </c>
      <c r="E197" s="18">
        <v>0.0</v>
      </c>
      <c r="F197" s="18">
        <v>2.0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5" t="s">
        <v>76</v>
      </c>
      <c r="B198" s="20" t="s">
        <v>348</v>
      </c>
      <c r="C198" s="18">
        <v>0.0</v>
      </c>
      <c r="D198" s="18">
        <v>2.0</v>
      </c>
      <c r="E198" s="18">
        <v>0.0</v>
      </c>
      <c r="F198" s="18">
        <v>3.0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5" t="s">
        <v>76</v>
      </c>
      <c r="B199" s="20" t="s">
        <v>349</v>
      </c>
      <c r="C199" s="18">
        <v>0.0</v>
      </c>
      <c r="D199" s="18">
        <v>2.0</v>
      </c>
      <c r="E199" s="18">
        <v>0.0</v>
      </c>
      <c r="F199" s="18">
        <v>3.0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5" t="s">
        <v>76</v>
      </c>
      <c r="B200" s="20" t="s">
        <v>350</v>
      </c>
      <c r="C200" s="18">
        <v>0.0</v>
      </c>
      <c r="D200" s="18">
        <v>2.0</v>
      </c>
      <c r="E200" s="18">
        <v>0.0</v>
      </c>
      <c r="F200" s="18">
        <v>3.0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5" t="s">
        <v>77</v>
      </c>
      <c r="B201" s="20" t="s">
        <v>351</v>
      </c>
      <c r="C201" s="18">
        <v>0.0</v>
      </c>
      <c r="D201" s="18">
        <v>2.0</v>
      </c>
      <c r="E201" s="18">
        <v>0.0</v>
      </c>
      <c r="F201" s="18">
        <v>2.0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5" t="s">
        <v>78</v>
      </c>
      <c r="B202" s="20" t="s">
        <v>343</v>
      </c>
      <c r="C202" s="18">
        <v>0.0</v>
      </c>
      <c r="D202" s="18">
        <v>2.0</v>
      </c>
      <c r="E202" s="18">
        <v>0.0</v>
      </c>
      <c r="F202" s="18">
        <v>1.0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5" t="s">
        <v>78</v>
      </c>
      <c r="B203" s="20" t="s">
        <v>352</v>
      </c>
      <c r="C203" s="18">
        <v>1.0</v>
      </c>
      <c r="D203" s="18">
        <v>2.0</v>
      </c>
      <c r="E203" s="18">
        <v>1.0</v>
      </c>
      <c r="F203" s="18">
        <v>1.0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5" t="s">
        <v>78</v>
      </c>
      <c r="B204" s="20" t="s">
        <v>353</v>
      </c>
      <c r="C204" s="18">
        <v>1.0</v>
      </c>
      <c r="D204" s="18">
        <v>2.0</v>
      </c>
      <c r="E204" s="18">
        <v>1.0</v>
      </c>
      <c r="F204" s="18">
        <v>1.0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5" t="s">
        <v>78</v>
      </c>
      <c r="B205" s="20" t="s">
        <v>354</v>
      </c>
      <c r="C205" s="18">
        <v>1.0</v>
      </c>
      <c r="D205" s="18">
        <v>3.0</v>
      </c>
      <c r="E205" s="18">
        <v>0.0</v>
      </c>
      <c r="F205" s="18">
        <v>1.0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5" t="s">
        <v>80</v>
      </c>
      <c r="B206" s="20" t="s">
        <v>355</v>
      </c>
      <c r="C206" s="18">
        <v>1.0</v>
      </c>
      <c r="D206" s="18">
        <v>1.0</v>
      </c>
      <c r="E206" s="18">
        <v>0.0</v>
      </c>
      <c r="F206" s="18">
        <v>0.0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5" t="s">
        <v>80</v>
      </c>
      <c r="B207" s="20" t="s">
        <v>356</v>
      </c>
      <c r="C207" s="18">
        <v>1.0</v>
      </c>
      <c r="D207" s="18">
        <v>1.0</v>
      </c>
      <c r="E207" s="18">
        <v>1.0</v>
      </c>
      <c r="F207" s="18">
        <v>0.0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5" t="s">
        <v>80</v>
      </c>
      <c r="B208" s="20" t="s">
        <v>357</v>
      </c>
      <c r="C208" s="18">
        <v>1.0</v>
      </c>
      <c r="D208" s="18">
        <v>1.0</v>
      </c>
      <c r="E208" s="18">
        <v>1.0</v>
      </c>
      <c r="F208" s="18">
        <v>0.0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5" t="s">
        <v>81</v>
      </c>
      <c r="B209" s="20" t="s">
        <v>358</v>
      </c>
      <c r="C209" s="18">
        <v>2.0</v>
      </c>
      <c r="D209" s="18">
        <v>1.0</v>
      </c>
      <c r="E209" s="18">
        <v>0.0</v>
      </c>
      <c r="F209" s="18">
        <v>0.0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5" t="s">
        <v>81</v>
      </c>
      <c r="B210" s="20" t="s">
        <v>359</v>
      </c>
      <c r="C210" s="18">
        <v>1.0</v>
      </c>
      <c r="D210" s="18">
        <v>1.0</v>
      </c>
      <c r="E210" s="18">
        <v>0.0</v>
      </c>
      <c r="F210" s="18">
        <v>0.0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5" t="s">
        <v>81</v>
      </c>
      <c r="B211" s="20" t="s">
        <v>360</v>
      </c>
      <c r="C211" s="18">
        <v>2.0</v>
      </c>
      <c r="D211" s="18">
        <v>1.0</v>
      </c>
      <c r="E211" s="18">
        <v>2.0</v>
      </c>
      <c r="F211" s="18">
        <v>0.0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5" t="s">
        <v>81</v>
      </c>
      <c r="B212" s="20" t="s">
        <v>361</v>
      </c>
      <c r="C212" s="18">
        <v>1.0</v>
      </c>
      <c r="D212" s="18">
        <v>1.0</v>
      </c>
      <c r="E212" s="18">
        <v>0.0</v>
      </c>
      <c r="F212" s="18">
        <v>0.0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5" t="s">
        <v>81</v>
      </c>
      <c r="B213" s="20" t="s">
        <v>362</v>
      </c>
      <c r="C213" s="18">
        <v>3.0</v>
      </c>
      <c r="D213" s="18">
        <v>1.0</v>
      </c>
      <c r="E213" s="18">
        <v>0.0</v>
      </c>
      <c r="F213" s="18">
        <v>0.0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5" t="s">
        <v>81</v>
      </c>
      <c r="B214" s="20" t="s">
        <v>363</v>
      </c>
      <c r="C214" s="18">
        <v>2.0</v>
      </c>
      <c r="D214" s="18">
        <v>1.0</v>
      </c>
      <c r="E214" s="18">
        <v>3.0</v>
      </c>
      <c r="F214" s="18">
        <v>0.0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5" t="s">
        <v>82</v>
      </c>
      <c r="B215" s="20" t="s">
        <v>364</v>
      </c>
      <c r="C215" s="18">
        <v>1.0</v>
      </c>
      <c r="D215" s="18">
        <v>1.0</v>
      </c>
      <c r="E215" s="18">
        <v>1.0</v>
      </c>
      <c r="F215" s="18">
        <v>0.0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5" t="s">
        <v>82</v>
      </c>
      <c r="B216" s="20" t="s">
        <v>365</v>
      </c>
      <c r="C216" s="18">
        <v>3.0</v>
      </c>
      <c r="D216" s="18">
        <v>1.0</v>
      </c>
      <c r="E216" s="18">
        <v>1.0</v>
      </c>
      <c r="F216" s="18">
        <v>0.0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5" t="s">
        <v>82</v>
      </c>
      <c r="B217" s="20" t="s">
        <v>366</v>
      </c>
      <c r="C217" s="18">
        <v>3.0</v>
      </c>
      <c r="D217" s="18">
        <v>1.0</v>
      </c>
      <c r="E217" s="18">
        <v>1.0</v>
      </c>
      <c r="F217" s="18">
        <v>0.0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5" t="s">
        <v>83</v>
      </c>
      <c r="B218" s="20" t="s">
        <v>367</v>
      </c>
      <c r="C218" s="18">
        <v>3.0</v>
      </c>
      <c r="D218" s="18">
        <v>2.0</v>
      </c>
      <c r="E218" s="18">
        <v>0.0</v>
      </c>
      <c r="F218" s="18">
        <v>0.0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5" t="s">
        <v>85</v>
      </c>
      <c r="B219" s="20" t="s">
        <v>368</v>
      </c>
      <c r="C219" s="18">
        <v>0.0</v>
      </c>
      <c r="D219" s="18">
        <v>2.0</v>
      </c>
      <c r="E219" s="18">
        <v>0.0</v>
      </c>
      <c r="F219" s="18">
        <v>1.0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5" t="s">
        <v>87</v>
      </c>
      <c r="B220" s="20" t="s">
        <v>369</v>
      </c>
      <c r="C220" s="18">
        <v>1.0</v>
      </c>
      <c r="D220" s="18">
        <v>0.0</v>
      </c>
      <c r="E220" s="18">
        <v>0.0</v>
      </c>
      <c r="F220" s="18">
        <v>3.0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5" t="s">
        <v>87</v>
      </c>
      <c r="B221" s="20" t="s">
        <v>370</v>
      </c>
      <c r="C221" s="18">
        <v>0.0</v>
      </c>
      <c r="D221" s="18">
        <v>0.0</v>
      </c>
      <c r="E221" s="18">
        <v>0.0</v>
      </c>
      <c r="F221" s="18">
        <v>3.0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5" t="s">
        <v>87</v>
      </c>
      <c r="B222" s="20" t="s">
        <v>371</v>
      </c>
      <c r="C222" s="18">
        <v>1.0</v>
      </c>
      <c r="D222" s="18">
        <v>0.0</v>
      </c>
      <c r="E222" s="18">
        <v>0.0</v>
      </c>
      <c r="F222" s="18">
        <v>3.0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5" t="s">
        <v>87</v>
      </c>
      <c r="B223" s="20" t="s">
        <v>372</v>
      </c>
      <c r="C223" s="18">
        <v>0.0</v>
      </c>
      <c r="D223" s="18">
        <v>0.0</v>
      </c>
      <c r="E223" s="18">
        <v>0.0</v>
      </c>
      <c r="F223" s="18">
        <v>3.0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5" t="s">
        <v>89</v>
      </c>
      <c r="B224" s="20" t="s">
        <v>373</v>
      </c>
      <c r="C224" s="18">
        <v>2.0</v>
      </c>
      <c r="D224" s="18">
        <v>1.0</v>
      </c>
      <c r="E224" s="18">
        <v>1.0</v>
      </c>
      <c r="F224" s="18">
        <v>0.0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5" t="s">
        <v>89</v>
      </c>
      <c r="B225" s="20" t="s">
        <v>91</v>
      </c>
      <c r="C225" s="18">
        <v>2.0</v>
      </c>
      <c r="D225" s="18">
        <v>1.0</v>
      </c>
      <c r="E225" s="18">
        <v>1.0</v>
      </c>
      <c r="F225" s="18">
        <v>0.0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5" t="s">
        <v>90</v>
      </c>
      <c r="B226" s="20" t="s">
        <v>374</v>
      </c>
      <c r="C226" s="18">
        <v>2.0</v>
      </c>
      <c r="D226" s="18">
        <v>1.0</v>
      </c>
      <c r="E226" s="18">
        <v>0.0</v>
      </c>
      <c r="F226" s="18">
        <v>0.0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21" t="s">
        <v>91</v>
      </c>
      <c r="B227" s="20" t="s">
        <v>91</v>
      </c>
      <c r="C227" s="18">
        <v>2.0</v>
      </c>
      <c r="D227" s="18">
        <v>1.0</v>
      </c>
      <c r="E227" s="18">
        <v>1.0</v>
      </c>
      <c r="F227" s="18">
        <v>0.0</v>
      </c>
      <c r="G227" s="15" t="s">
        <v>375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5" t="s">
        <v>93</v>
      </c>
      <c r="B228" s="20" t="s">
        <v>376</v>
      </c>
      <c r="C228" s="18" t="s">
        <v>297</v>
      </c>
      <c r="D228" s="18" t="s">
        <v>297</v>
      </c>
      <c r="E228" s="18" t="s">
        <v>297</v>
      </c>
      <c r="F228" s="18" t="s">
        <v>297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5" t="s">
        <v>93</v>
      </c>
      <c r="B229" s="20" t="s">
        <v>377</v>
      </c>
      <c r="C229" s="18">
        <v>3.0</v>
      </c>
      <c r="D229" s="18">
        <v>1.0</v>
      </c>
      <c r="E229" s="18">
        <v>0.0</v>
      </c>
      <c r="F229" s="18">
        <v>0.0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5" t="s">
        <v>93</v>
      </c>
      <c r="B230" s="20" t="s">
        <v>378</v>
      </c>
      <c r="C230" s="18">
        <v>3.0</v>
      </c>
      <c r="D230" s="18">
        <v>1.0</v>
      </c>
      <c r="E230" s="18">
        <v>0.0</v>
      </c>
      <c r="F230" s="18">
        <v>0.0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5" t="s">
        <v>93</v>
      </c>
      <c r="B231" s="20" t="s">
        <v>379</v>
      </c>
      <c r="C231" s="18">
        <v>3.0</v>
      </c>
      <c r="D231" s="18">
        <v>1.0</v>
      </c>
      <c r="E231" s="18">
        <v>0.0</v>
      </c>
      <c r="F231" s="18">
        <v>0.0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5" t="s">
        <v>93</v>
      </c>
      <c r="B232" s="20" t="s">
        <v>380</v>
      </c>
      <c r="C232" s="18">
        <v>2.0</v>
      </c>
      <c r="D232" s="18">
        <v>1.0</v>
      </c>
      <c r="E232" s="18">
        <v>0.0</v>
      </c>
      <c r="F232" s="18">
        <v>0.0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5" t="s">
        <v>93</v>
      </c>
      <c r="B233" s="20" t="s">
        <v>381</v>
      </c>
      <c r="C233" s="18">
        <v>3.0</v>
      </c>
      <c r="D233" s="18">
        <v>2.0</v>
      </c>
      <c r="E233" s="18">
        <v>2.0</v>
      </c>
      <c r="F233" s="18">
        <v>0.0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5" t="s">
        <v>93</v>
      </c>
      <c r="B234" s="20" t="s">
        <v>382</v>
      </c>
      <c r="C234" s="18">
        <v>2.0</v>
      </c>
      <c r="D234" s="18">
        <v>1.0</v>
      </c>
      <c r="E234" s="18">
        <v>1.0</v>
      </c>
      <c r="F234" s="18">
        <v>0.0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5" t="s">
        <v>94</v>
      </c>
      <c r="B235" s="20" t="s">
        <v>383</v>
      </c>
      <c r="C235" s="18">
        <v>2.0</v>
      </c>
      <c r="D235" s="18">
        <v>1.0</v>
      </c>
      <c r="E235" s="18">
        <v>0.0</v>
      </c>
      <c r="F235" s="18">
        <v>0.0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5" t="s">
        <v>94</v>
      </c>
      <c r="B236" s="20" t="s">
        <v>384</v>
      </c>
      <c r="C236" s="18">
        <v>2.0</v>
      </c>
      <c r="D236" s="18">
        <v>2.0</v>
      </c>
      <c r="E236" s="18">
        <v>0.0</v>
      </c>
      <c r="F236" s="18">
        <v>0.0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5" t="s">
        <v>94</v>
      </c>
      <c r="B237" s="20" t="s">
        <v>385</v>
      </c>
      <c r="C237" s="18">
        <v>2.0</v>
      </c>
      <c r="D237" s="18">
        <v>1.0</v>
      </c>
      <c r="E237" s="18">
        <v>0.0</v>
      </c>
      <c r="F237" s="18">
        <v>0.0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5" t="s">
        <v>94</v>
      </c>
      <c r="B238" s="20" t="s">
        <v>386</v>
      </c>
      <c r="C238" s="18">
        <v>2.0</v>
      </c>
      <c r="D238" s="18">
        <v>1.0</v>
      </c>
      <c r="E238" s="18">
        <v>0.0</v>
      </c>
      <c r="F238" s="18">
        <v>0.0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5" t="s">
        <v>95</v>
      </c>
      <c r="B239" s="20" t="s">
        <v>387</v>
      </c>
      <c r="C239" s="18">
        <v>2.0</v>
      </c>
      <c r="D239" s="18">
        <v>1.0</v>
      </c>
      <c r="E239" s="18">
        <v>0.0</v>
      </c>
      <c r="F239" s="18">
        <v>0.0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5" t="s">
        <v>96</v>
      </c>
      <c r="B240" s="20" t="s">
        <v>388</v>
      </c>
      <c r="C240" s="18">
        <v>2.0</v>
      </c>
      <c r="D240" s="18">
        <v>1.0</v>
      </c>
      <c r="E240" s="18">
        <v>0.0</v>
      </c>
      <c r="F240" s="18">
        <v>0.0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5" t="s">
        <v>96</v>
      </c>
      <c r="B241" s="20" t="s">
        <v>389</v>
      </c>
      <c r="C241" s="18">
        <v>2.0</v>
      </c>
      <c r="D241" s="18">
        <v>1.0</v>
      </c>
      <c r="E241" s="18">
        <v>0.0</v>
      </c>
      <c r="F241" s="18">
        <v>0.0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5" t="s">
        <v>97</v>
      </c>
      <c r="B242" s="20" t="s">
        <v>390</v>
      </c>
      <c r="C242" s="18">
        <v>2.0</v>
      </c>
      <c r="D242" s="18">
        <v>1.0</v>
      </c>
      <c r="E242" s="18">
        <v>0.0</v>
      </c>
      <c r="F242" s="18">
        <v>0.0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5" t="s">
        <v>97</v>
      </c>
      <c r="B243" s="20" t="s">
        <v>391</v>
      </c>
      <c r="C243" s="18">
        <v>2.0</v>
      </c>
      <c r="D243" s="18">
        <v>1.0</v>
      </c>
      <c r="E243" s="18">
        <v>0.0</v>
      </c>
      <c r="F243" s="18">
        <v>0.0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5" t="s">
        <v>97</v>
      </c>
      <c r="B244" s="20" t="s">
        <v>392</v>
      </c>
      <c r="C244" s="18">
        <v>2.0</v>
      </c>
      <c r="D244" s="18">
        <v>1.0</v>
      </c>
      <c r="E244" s="18">
        <v>0.0</v>
      </c>
      <c r="F244" s="18">
        <v>0.0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5" t="s">
        <v>97</v>
      </c>
      <c r="B245" s="20" t="s">
        <v>393</v>
      </c>
      <c r="C245" s="18">
        <v>2.0</v>
      </c>
      <c r="D245" s="18">
        <v>2.0</v>
      </c>
      <c r="E245" s="18">
        <v>0.0</v>
      </c>
      <c r="F245" s="18">
        <v>0.0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5" t="s">
        <v>97</v>
      </c>
      <c r="B246" s="20" t="s">
        <v>394</v>
      </c>
      <c r="C246" s="18">
        <v>2.0</v>
      </c>
      <c r="D246" s="18">
        <v>1.0</v>
      </c>
      <c r="E246" s="18">
        <v>0.0</v>
      </c>
      <c r="F246" s="18">
        <v>0.0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5" t="s">
        <v>97</v>
      </c>
      <c r="B247" s="20" t="s">
        <v>395</v>
      </c>
      <c r="C247" s="18">
        <v>2.0</v>
      </c>
      <c r="D247" s="18">
        <v>1.0</v>
      </c>
      <c r="E247" s="18">
        <v>0.0</v>
      </c>
      <c r="F247" s="18">
        <v>0.0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5" t="s">
        <v>97</v>
      </c>
      <c r="B248" s="20" t="s">
        <v>396</v>
      </c>
      <c r="C248" s="18">
        <v>2.0</v>
      </c>
      <c r="D248" s="18">
        <v>1.0</v>
      </c>
      <c r="E248" s="18">
        <v>0.0</v>
      </c>
      <c r="F248" s="18">
        <v>0.0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5" t="s">
        <v>98</v>
      </c>
      <c r="B249" s="20" t="s">
        <v>397</v>
      </c>
      <c r="C249" s="18">
        <v>2.0</v>
      </c>
      <c r="D249" s="18">
        <v>1.0</v>
      </c>
      <c r="E249" s="18">
        <v>1.0</v>
      </c>
      <c r="F249" s="18">
        <v>0.0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5" t="s">
        <v>98</v>
      </c>
      <c r="B250" s="20" t="s">
        <v>398</v>
      </c>
      <c r="C250" s="18">
        <v>2.0</v>
      </c>
      <c r="D250" s="18">
        <v>1.0</v>
      </c>
      <c r="E250" s="18">
        <v>1.0</v>
      </c>
      <c r="F250" s="18">
        <v>0.0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5" t="s">
        <v>99</v>
      </c>
      <c r="B251" s="20" t="s">
        <v>399</v>
      </c>
      <c r="C251" s="18">
        <v>3.0</v>
      </c>
      <c r="D251" s="18">
        <v>1.0</v>
      </c>
      <c r="E251" s="18">
        <v>0.0</v>
      </c>
      <c r="F251" s="18">
        <v>0.0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5" t="s">
        <v>100</v>
      </c>
      <c r="B252" s="20" t="s">
        <v>400</v>
      </c>
      <c r="C252" s="18">
        <v>3.0</v>
      </c>
      <c r="D252" s="18">
        <v>1.0</v>
      </c>
      <c r="E252" s="18">
        <v>2.0</v>
      </c>
      <c r="F252" s="18">
        <v>0.0</v>
      </c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5" t="s">
        <v>100</v>
      </c>
      <c r="B253" s="20" t="s">
        <v>401</v>
      </c>
      <c r="C253" s="18">
        <v>3.0</v>
      </c>
      <c r="D253" s="18">
        <v>1.0</v>
      </c>
      <c r="E253" s="18">
        <v>2.0</v>
      </c>
      <c r="F253" s="18">
        <v>0.0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5" t="s">
        <v>101</v>
      </c>
      <c r="B254" s="20" t="s">
        <v>402</v>
      </c>
      <c r="C254" s="18">
        <v>2.0</v>
      </c>
      <c r="D254" s="18">
        <v>1.0</v>
      </c>
      <c r="E254" s="18">
        <v>0.0</v>
      </c>
      <c r="F254" s="18">
        <v>0.0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5" t="s">
        <v>102</v>
      </c>
      <c r="B255" s="20" t="s">
        <v>403</v>
      </c>
      <c r="C255" s="18">
        <v>2.0</v>
      </c>
      <c r="D255" s="18">
        <v>1.0</v>
      </c>
      <c r="E255" s="18">
        <v>0.0</v>
      </c>
      <c r="F255" s="18">
        <v>0.0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5" t="s">
        <v>104</v>
      </c>
      <c r="B256" s="20" t="s">
        <v>404</v>
      </c>
      <c r="C256" s="18">
        <v>1.0</v>
      </c>
      <c r="D256" s="18">
        <v>1.0</v>
      </c>
      <c r="E256" s="18">
        <v>0.0</v>
      </c>
      <c r="F256" s="18">
        <v>3.0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5" t="s">
        <v>104</v>
      </c>
      <c r="B257" s="20" t="s">
        <v>405</v>
      </c>
      <c r="C257" s="18">
        <v>0.0</v>
      </c>
      <c r="D257" s="18">
        <v>1.0</v>
      </c>
      <c r="E257" s="18">
        <v>0.0</v>
      </c>
      <c r="F257" s="18">
        <v>3.0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5" t="s">
        <v>104</v>
      </c>
      <c r="B258" s="20" t="s">
        <v>406</v>
      </c>
      <c r="C258" s="18">
        <v>2.0</v>
      </c>
      <c r="D258" s="18">
        <v>0.0</v>
      </c>
      <c r="E258" s="18">
        <v>0.0</v>
      </c>
      <c r="F258" s="18">
        <v>3.0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5" t="s">
        <v>104</v>
      </c>
      <c r="B259" s="20" t="s">
        <v>407</v>
      </c>
      <c r="C259" s="18">
        <v>1.0</v>
      </c>
      <c r="D259" s="18">
        <v>1.0</v>
      </c>
      <c r="E259" s="18">
        <v>0.0</v>
      </c>
      <c r="F259" s="18">
        <v>2.0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5" t="s">
        <v>104</v>
      </c>
      <c r="B260" s="20" t="s">
        <v>408</v>
      </c>
      <c r="C260" s="18">
        <v>1.0</v>
      </c>
      <c r="D260" s="18">
        <v>1.0</v>
      </c>
      <c r="E260" s="18">
        <v>0.0</v>
      </c>
      <c r="F260" s="18">
        <v>3.0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5" t="s">
        <v>105</v>
      </c>
      <c r="B261" s="20" t="s">
        <v>409</v>
      </c>
      <c r="C261" s="18">
        <v>2.0</v>
      </c>
      <c r="D261" s="18">
        <v>1.0</v>
      </c>
      <c r="E261" s="18">
        <v>0.0</v>
      </c>
      <c r="F261" s="18">
        <v>2.0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5" t="s">
        <v>106</v>
      </c>
      <c r="B262" s="20" t="s">
        <v>410</v>
      </c>
      <c r="C262" s="18">
        <v>2.0</v>
      </c>
      <c r="D262" s="18">
        <v>1.0</v>
      </c>
      <c r="E262" s="18">
        <v>0.0</v>
      </c>
      <c r="F262" s="18">
        <v>3.0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5" t="s">
        <v>106</v>
      </c>
      <c r="B263" s="20" t="s">
        <v>411</v>
      </c>
      <c r="C263" s="18">
        <v>1.0</v>
      </c>
      <c r="D263" s="18">
        <v>1.0</v>
      </c>
      <c r="E263" s="18">
        <v>0.0</v>
      </c>
      <c r="F263" s="18">
        <v>3.0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5" t="s">
        <v>106</v>
      </c>
      <c r="B264" s="20" t="s">
        <v>412</v>
      </c>
      <c r="C264" s="18">
        <v>0.0</v>
      </c>
      <c r="D264" s="18">
        <v>1.0</v>
      </c>
      <c r="E264" s="18">
        <v>0.0</v>
      </c>
      <c r="F264" s="18">
        <v>3.0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5" t="s">
        <v>106</v>
      </c>
      <c r="B265" s="20" t="s">
        <v>413</v>
      </c>
      <c r="C265" s="18">
        <v>1.0</v>
      </c>
      <c r="D265" s="18">
        <v>1.0</v>
      </c>
      <c r="E265" s="18">
        <v>2.0</v>
      </c>
      <c r="F265" s="18">
        <v>3.0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5" t="s">
        <v>106</v>
      </c>
      <c r="B266" s="20" t="s">
        <v>414</v>
      </c>
      <c r="C266" s="18">
        <v>2.0</v>
      </c>
      <c r="D266" s="18">
        <v>1.0</v>
      </c>
      <c r="E266" s="18">
        <v>0.0</v>
      </c>
      <c r="F266" s="18">
        <v>3.0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5" t="s">
        <v>108</v>
      </c>
      <c r="B267" s="20" t="s">
        <v>415</v>
      </c>
      <c r="C267" s="18">
        <v>0.0</v>
      </c>
      <c r="D267" s="18">
        <v>1.0</v>
      </c>
      <c r="E267" s="18">
        <v>0.0</v>
      </c>
      <c r="F267" s="18">
        <v>3.0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5" t="s">
        <v>108</v>
      </c>
      <c r="B268" s="20" t="s">
        <v>416</v>
      </c>
      <c r="C268" s="18">
        <v>0.0</v>
      </c>
      <c r="D268" s="18">
        <v>1.0</v>
      </c>
      <c r="E268" s="18">
        <v>0.0</v>
      </c>
      <c r="F268" s="18">
        <v>3.0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5" t="s">
        <v>108</v>
      </c>
      <c r="B269" s="20" t="s">
        <v>417</v>
      </c>
      <c r="C269" s="18">
        <v>2.0</v>
      </c>
      <c r="D269" s="18">
        <v>0.0</v>
      </c>
      <c r="E269" s="18">
        <v>0.0</v>
      </c>
      <c r="F269" s="18">
        <v>3.0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5" t="s">
        <v>108</v>
      </c>
      <c r="B270" s="20" t="s">
        <v>418</v>
      </c>
      <c r="C270" s="18">
        <v>0.0</v>
      </c>
      <c r="D270" s="18">
        <v>1.0</v>
      </c>
      <c r="E270" s="18">
        <v>0.0</v>
      </c>
      <c r="F270" s="18">
        <v>3.0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5" t="s">
        <v>109</v>
      </c>
      <c r="B271" s="20" t="s">
        <v>419</v>
      </c>
      <c r="C271" s="18">
        <v>2.0</v>
      </c>
      <c r="D271" s="18">
        <v>0.0</v>
      </c>
      <c r="E271" s="18">
        <v>0.0</v>
      </c>
      <c r="F271" s="18">
        <v>3.0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5" t="s">
        <v>109</v>
      </c>
      <c r="B272" s="20" t="s">
        <v>420</v>
      </c>
      <c r="C272" s="18">
        <v>2.0</v>
      </c>
      <c r="D272" s="18">
        <v>1.0</v>
      </c>
      <c r="E272" s="18">
        <v>0.0</v>
      </c>
      <c r="F272" s="18">
        <v>3.0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5" t="s">
        <v>109</v>
      </c>
      <c r="B273" s="20" t="s">
        <v>421</v>
      </c>
      <c r="C273" s="18">
        <v>2.0</v>
      </c>
      <c r="D273" s="18">
        <v>1.0</v>
      </c>
      <c r="E273" s="18">
        <v>0.0</v>
      </c>
      <c r="F273" s="18">
        <v>3.0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5" t="s">
        <v>109</v>
      </c>
      <c r="B274" s="20" t="s">
        <v>422</v>
      </c>
      <c r="C274" s="18">
        <v>2.0</v>
      </c>
      <c r="D274" s="18">
        <v>0.0</v>
      </c>
      <c r="E274" s="18">
        <v>0.0</v>
      </c>
      <c r="F274" s="18">
        <v>3.0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5" t="s">
        <v>109</v>
      </c>
      <c r="B275" s="20" t="s">
        <v>423</v>
      </c>
      <c r="C275" s="18">
        <v>3.0</v>
      </c>
      <c r="D275" s="18">
        <v>1.0</v>
      </c>
      <c r="E275" s="18">
        <v>0.0</v>
      </c>
      <c r="F275" s="18">
        <v>3.0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5" t="s">
        <v>110</v>
      </c>
      <c r="B276" s="20" t="s">
        <v>424</v>
      </c>
      <c r="C276" s="18">
        <v>1.0</v>
      </c>
      <c r="D276" s="18">
        <v>1.0</v>
      </c>
      <c r="E276" s="18">
        <v>0.0</v>
      </c>
      <c r="F276" s="18">
        <v>3.0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5" t="s">
        <v>110</v>
      </c>
      <c r="B277" s="20" t="s">
        <v>425</v>
      </c>
      <c r="C277" s="18">
        <v>0.0</v>
      </c>
      <c r="D277" s="18">
        <v>1.0</v>
      </c>
      <c r="E277" s="18">
        <v>0.0</v>
      </c>
      <c r="F277" s="18">
        <v>3.0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5" t="s">
        <v>110</v>
      </c>
      <c r="B278" s="20" t="s">
        <v>426</v>
      </c>
      <c r="C278" s="18">
        <v>0.0</v>
      </c>
      <c r="D278" s="18">
        <v>1.0</v>
      </c>
      <c r="E278" s="18">
        <v>0.0</v>
      </c>
      <c r="F278" s="18">
        <v>3.0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5" t="s">
        <v>111</v>
      </c>
      <c r="B279" s="20" t="s">
        <v>427</v>
      </c>
      <c r="C279" s="18">
        <v>0.0</v>
      </c>
      <c r="D279" s="18">
        <v>1.0</v>
      </c>
      <c r="E279" s="18">
        <v>0.0</v>
      </c>
      <c r="F279" s="18">
        <v>3.0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5" t="s">
        <v>111</v>
      </c>
      <c r="B280" s="20" t="s">
        <v>428</v>
      </c>
      <c r="C280" s="18">
        <v>1.0</v>
      </c>
      <c r="D280" s="18">
        <v>1.0</v>
      </c>
      <c r="E280" s="18">
        <v>0.0</v>
      </c>
      <c r="F280" s="18">
        <v>3.0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5" t="s">
        <v>111</v>
      </c>
      <c r="B281" s="20" t="s">
        <v>429</v>
      </c>
      <c r="C281" s="18">
        <v>0.0</v>
      </c>
      <c r="D281" s="18">
        <v>0.0</v>
      </c>
      <c r="E281" s="18">
        <v>0.0</v>
      </c>
      <c r="F281" s="18">
        <v>3.0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5" t="s">
        <v>111</v>
      </c>
      <c r="B282" s="20" t="s">
        <v>430</v>
      </c>
      <c r="C282" s="18">
        <v>0.0</v>
      </c>
      <c r="D282" s="18">
        <v>1.0</v>
      </c>
      <c r="E282" s="18">
        <v>0.0</v>
      </c>
      <c r="F282" s="18">
        <v>3.0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5" t="s">
        <v>111</v>
      </c>
      <c r="B283" s="20" t="s">
        <v>431</v>
      </c>
      <c r="C283" s="18">
        <v>1.0</v>
      </c>
      <c r="D283" s="18">
        <v>1.0</v>
      </c>
      <c r="E283" s="18">
        <v>0.0</v>
      </c>
      <c r="F283" s="18">
        <v>3.0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5" t="s">
        <v>111</v>
      </c>
      <c r="B284" s="20" t="s">
        <v>432</v>
      </c>
      <c r="C284" s="18">
        <v>1.0</v>
      </c>
      <c r="D284" s="18">
        <v>0.0</v>
      </c>
      <c r="E284" s="18">
        <v>0.0</v>
      </c>
      <c r="F284" s="18">
        <v>3.0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5" t="s">
        <v>111</v>
      </c>
      <c r="B285" s="20" t="s">
        <v>433</v>
      </c>
      <c r="C285" s="18">
        <v>1.0</v>
      </c>
      <c r="D285" s="18">
        <v>1.0</v>
      </c>
      <c r="E285" s="18">
        <v>0.0</v>
      </c>
      <c r="F285" s="18">
        <v>3.0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5" t="s">
        <v>112</v>
      </c>
      <c r="B286" s="20" t="s">
        <v>434</v>
      </c>
      <c r="C286" s="18">
        <v>1.0</v>
      </c>
      <c r="D286" s="18">
        <v>1.0</v>
      </c>
      <c r="E286" s="18">
        <v>0.0</v>
      </c>
      <c r="F286" s="18">
        <v>3.0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5" t="s">
        <v>116</v>
      </c>
      <c r="B287" s="20" t="s">
        <v>435</v>
      </c>
      <c r="C287" s="18">
        <v>1.0</v>
      </c>
      <c r="D287" s="18">
        <v>2.0</v>
      </c>
      <c r="E287" s="18">
        <v>0.0</v>
      </c>
      <c r="F287" s="18">
        <v>1.0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5" t="s">
        <v>116</v>
      </c>
      <c r="B288" s="20" t="s">
        <v>436</v>
      </c>
      <c r="C288" s="18">
        <v>2.0</v>
      </c>
      <c r="D288" s="18">
        <v>2.0</v>
      </c>
      <c r="E288" s="18">
        <v>0.0</v>
      </c>
      <c r="F288" s="18">
        <v>2.0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5" t="s">
        <v>116</v>
      </c>
      <c r="B289" s="20" t="s">
        <v>437</v>
      </c>
      <c r="C289" s="18">
        <v>2.0</v>
      </c>
      <c r="D289" s="18">
        <v>2.0</v>
      </c>
      <c r="E289" s="18">
        <v>0.0</v>
      </c>
      <c r="F289" s="18">
        <v>1.0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5" t="s">
        <v>116</v>
      </c>
      <c r="B290" s="20" t="s">
        <v>438</v>
      </c>
      <c r="C290" s="18" t="s">
        <v>297</v>
      </c>
      <c r="D290" s="18" t="s">
        <v>297</v>
      </c>
      <c r="E290" s="18" t="s">
        <v>297</v>
      </c>
      <c r="F290" s="18" t="s">
        <v>297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5" t="s">
        <v>116</v>
      </c>
      <c r="B291" s="20" t="s">
        <v>439</v>
      </c>
      <c r="C291" s="18">
        <v>2.0</v>
      </c>
      <c r="D291" s="18">
        <v>2.0</v>
      </c>
      <c r="E291" s="18">
        <v>0.0</v>
      </c>
      <c r="F291" s="18">
        <v>1.0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5" t="s">
        <v>117</v>
      </c>
      <c r="B292" s="20" t="s">
        <v>440</v>
      </c>
      <c r="C292" s="18">
        <v>3.0</v>
      </c>
      <c r="D292" s="18">
        <v>2.0</v>
      </c>
      <c r="E292" s="18">
        <v>0.0</v>
      </c>
      <c r="F292" s="18">
        <v>1.0</v>
      </c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5" t="s">
        <v>117</v>
      </c>
      <c r="B293" s="20" t="s">
        <v>441</v>
      </c>
      <c r="C293" s="18" t="s">
        <v>297</v>
      </c>
      <c r="D293" s="18" t="s">
        <v>297</v>
      </c>
      <c r="E293" s="18" t="s">
        <v>297</v>
      </c>
      <c r="F293" s="18" t="s">
        <v>297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5" t="s">
        <v>117</v>
      </c>
      <c r="B294" s="20" t="s">
        <v>442</v>
      </c>
      <c r="C294" s="18">
        <v>2.0</v>
      </c>
      <c r="D294" s="18">
        <v>2.0</v>
      </c>
      <c r="E294" s="18">
        <v>0.0</v>
      </c>
      <c r="F294" s="18">
        <v>1.0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5" t="s">
        <v>117</v>
      </c>
      <c r="B295" s="20" t="s">
        <v>443</v>
      </c>
      <c r="C295" s="18">
        <v>2.0</v>
      </c>
      <c r="D295" s="18">
        <v>2.0</v>
      </c>
      <c r="E295" s="18">
        <v>0.0</v>
      </c>
      <c r="F295" s="18">
        <v>1.0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5" t="s">
        <v>118</v>
      </c>
      <c r="B296" s="20" t="s">
        <v>444</v>
      </c>
      <c r="C296" s="18">
        <v>2.0</v>
      </c>
      <c r="D296" s="18">
        <v>2.0</v>
      </c>
      <c r="E296" s="18">
        <v>0.0</v>
      </c>
      <c r="F296" s="18">
        <v>1.0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5" t="s">
        <v>118</v>
      </c>
      <c r="B297" s="20" t="s">
        <v>445</v>
      </c>
      <c r="C297" s="18">
        <v>1.0</v>
      </c>
      <c r="D297" s="18">
        <v>1.0</v>
      </c>
      <c r="E297" s="18">
        <v>0.0</v>
      </c>
      <c r="F297" s="18">
        <v>1.0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5" t="s">
        <v>118</v>
      </c>
      <c r="B298" s="20" t="s">
        <v>446</v>
      </c>
      <c r="C298" s="18">
        <v>2.0</v>
      </c>
      <c r="D298" s="18">
        <v>2.0</v>
      </c>
      <c r="E298" s="18">
        <v>0.0</v>
      </c>
      <c r="F298" s="18">
        <v>1.0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5" t="s">
        <v>119</v>
      </c>
      <c r="B299" s="20" t="s">
        <v>447</v>
      </c>
      <c r="C299" s="18">
        <v>2.0</v>
      </c>
      <c r="D299" s="18">
        <v>2.0</v>
      </c>
      <c r="E299" s="18">
        <v>0.0</v>
      </c>
      <c r="F299" s="18">
        <v>1.0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5" t="s">
        <v>119</v>
      </c>
      <c r="B300" s="20" t="s">
        <v>448</v>
      </c>
      <c r="C300" s="18">
        <v>2.0</v>
      </c>
      <c r="D300" s="18">
        <v>2.0</v>
      </c>
      <c r="E300" s="18">
        <v>0.0</v>
      </c>
      <c r="F300" s="18">
        <v>2.0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5" t="s">
        <v>119</v>
      </c>
      <c r="B301" s="20" t="s">
        <v>449</v>
      </c>
      <c r="C301" s="18">
        <v>3.0</v>
      </c>
      <c r="D301" s="18">
        <v>2.0</v>
      </c>
      <c r="E301" s="18">
        <v>0.0</v>
      </c>
      <c r="F301" s="18">
        <v>1.0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5" t="s">
        <v>119</v>
      </c>
      <c r="B302" s="20" t="s">
        <v>450</v>
      </c>
      <c r="C302" s="18">
        <v>2.0</v>
      </c>
      <c r="D302" s="18">
        <v>2.0</v>
      </c>
      <c r="E302" s="18">
        <v>0.0</v>
      </c>
      <c r="F302" s="18">
        <v>1.0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5" t="s">
        <v>120</v>
      </c>
      <c r="B303" s="20" t="s">
        <v>451</v>
      </c>
      <c r="C303" s="18" t="s">
        <v>297</v>
      </c>
      <c r="D303" s="18" t="s">
        <v>297</v>
      </c>
      <c r="E303" s="18" t="s">
        <v>297</v>
      </c>
      <c r="F303" s="18" t="s">
        <v>297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5" t="s">
        <v>120</v>
      </c>
      <c r="B304" s="20" t="s">
        <v>452</v>
      </c>
      <c r="C304" s="18">
        <v>1.0</v>
      </c>
      <c r="D304" s="18">
        <v>2.0</v>
      </c>
      <c r="E304" s="18">
        <v>0.0</v>
      </c>
      <c r="F304" s="18">
        <v>1.0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5" t="s">
        <v>120</v>
      </c>
      <c r="B305" s="20" t="s">
        <v>453</v>
      </c>
      <c r="C305" s="18">
        <v>1.0</v>
      </c>
      <c r="D305" s="18">
        <v>2.0</v>
      </c>
      <c r="E305" s="18">
        <v>0.0</v>
      </c>
      <c r="F305" s="18">
        <v>1.0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5" t="s">
        <v>120</v>
      </c>
      <c r="B306" s="20" t="s">
        <v>454</v>
      </c>
      <c r="C306" s="18" t="s">
        <v>297</v>
      </c>
      <c r="D306" s="18" t="s">
        <v>297</v>
      </c>
      <c r="E306" s="18" t="s">
        <v>297</v>
      </c>
      <c r="F306" s="18" t="s">
        <v>297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5" t="s">
        <v>120</v>
      </c>
      <c r="B307" s="20" t="s">
        <v>455</v>
      </c>
      <c r="C307" s="18">
        <v>1.0</v>
      </c>
      <c r="D307" s="18">
        <v>2.0</v>
      </c>
      <c r="E307" s="18">
        <v>0.0</v>
      </c>
      <c r="F307" s="18">
        <v>1.0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5" t="s">
        <v>120</v>
      </c>
      <c r="B308" s="20" t="s">
        <v>456</v>
      </c>
      <c r="C308" s="18">
        <v>1.0</v>
      </c>
      <c r="D308" s="18">
        <v>2.0</v>
      </c>
      <c r="E308" s="18">
        <v>0.0</v>
      </c>
      <c r="F308" s="18">
        <v>1.0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5" t="s">
        <v>121</v>
      </c>
      <c r="B309" s="20" t="s">
        <v>457</v>
      </c>
      <c r="C309" s="18">
        <v>2.0</v>
      </c>
      <c r="D309" s="18">
        <v>2.0</v>
      </c>
      <c r="E309" s="18">
        <v>0.0</v>
      </c>
      <c r="F309" s="18">
        <v>1.0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5" t="s">
        <v>121</v>
      </c>
      <c r="B310" s="20" t="s">
        <v>458</v>
      </c>
      <c r="C310" s="18">
        <v>1.0</v>
      </c>
      <c r="D310" s="18">
        <v>1.0</v>
      </c>
      <c r="E310" s="18">
        <v>1.0</v>
      </c>
      <c r="F310" s="18">
        <v>2.0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5" t="s">
        <v>121</v>
      </c>
      <c r="B311" s="20" t="s">
        <v>459</v>
      </c>
      <c r="C311" s="18" t="s">
        <v>297</v>
      </c>
      <c r="D311" s="18" t="s">
        <v>297</v>
      </c>
      <c r="E311" s="18" t="s">
        <v>297</v>
      </c>
      <c r="F311" s="18" t="s">
        <v>297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5" t="s">
        <v>121</v>
      </c>
      <c r="B312" s="20" t="s">
        <v>460</v>
      </c>
      <c r="C312" s="18">
        <v>1.0</v>
      </c>
      <c r="D312" s="18">
        <v>2.0</v>
      </c>
      <c r="E312" s="18">
        <v>0.0</v>
      </c>
      <c r="F312" s="18">
        <v>1.0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5" t="s">
        <v>121</v>
      </c>
      <c r="B313" s="20" t="s">
        <v>461</v>
      </c>
      <c r="C313" s="18">
        <v>1.0</v>
      </c>
      <c r="D313" s="18">
        <v>2.0</v>
      </c>
      <c r="E313" s="18">
        <v>0.0</v>
      </c>
      <c r="F313" s="18">
        <v>1.0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5" t="s">
        <v>121</v>
      </c>
      <c r="B314" s="20" t="s">
        <v>462</v>
      </c>
      <c r="C314" s="18">
        <v>1.0</v>
      </c>
      <c r="D314" s="18">
        <v>2.0</v>
      </c>
      <c r="E314" s="18">
        <v>0.0</v>
      </c>
      <c r="F314" s="18">
        <v>1.0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5" t="s">
        <v>121</v>
      </c>
      <c r="B315" s="20" t="s">
        <v>463</v>
      </c>
      <c r="C315" s="18">
        <v>2.0</v>
      </c>
      <c r="D315" s="18">
        <v>2.0</v>
      </c>
      <c r="E315" s="18">
        <v>0.0</v>
      </c>
      <c r="F315" s="18">
        <v>1.0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5" t="s">
        <v>121</v>
      </c>
      <c r="B316" s="20" t="s">
        <v>464</v>
      </c>
      <c r="C316" s="18">
        <v>1.0</v>
      </c>
      <c r="D316" s="18">
        <v>2.0</v>
      </c>
      <c r="E316" s="18">
        <v>0.0</v>
      </c>
      <c r="F316" s="18">
        <v>1.0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5" t="s">
        <v>121</v>
      </c>
      <c r="B317" s="20" t="s">
        <v>465</v>
      </c>
      <c r="C317" s="18">
        <v>2.0</v>
      </c>
      <c r="D317" s="18">
        <v>2.0</v>
      </c>
      <c r="E317" s="18">
        <v>0.0</v>
      </c>
      <c r="F317" s="18">
        <v>2.0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5" t="s">
        <v>121</v>
      </c>
      <c r="B318" s="20" t="s">
        <v>466</v>
      </c>
      <c r="C318" s="18">
        <v>1.0</v>
      </c>
      <c r="D318" s="18">
        <v>2.0</v>
      </c>
      <c r="E318" s="18">
        <v>0.0</v>
      </c>
      <c r="F318" s="18">
        <v>1.0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5" t="s">
        <v>122</v>
      </c>
      <c r="B319" s="20" t="s">
        <v>467</v>
      </c>
      <c r="C319" s="18">
        <v>2.0</v>
      </c>
      <c r="D319" s="18">
        <v>2.0</v>
      </c>
      <c r="E319" s="18">
        <v>0.0</v>
      </c>
      <c r="F319" s="18">
        <v>1.0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5" t="s">
        <v>122</v>
      </c>
      <c r="B320" s="20" t="s">
        <v>468</v>
      </c>
      <c r="C320" s="18" t="s">
        <v>297</v>
      </c>
      <c r="D320" s="18" t="s">
        <v>297</v>
      </c>
      <c r="E320" s="18" t="s">
        <v>297</v>
      </c>
      <c r="F320" s="18" t="s">
        <v>297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5" t="s">
        <v>122</v>
      </c>
      <c r="B321" s="20" t="s">
        <v>469</v>
      </c>
      <c r="C321" s="18">
        <v>2.0</v>
      </c>
      <c r="D321" s="18">
        <v>2.0</v>
      </c>
      <c r="E321" s="18">
        <v>0.0</v>
      </c>
      <c r="F321" s="18">
        <v>1.0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5" t="s">
        <v>122</v>
      </c>
      <c r="B322" s="20" t="s">
        <v>470</v>
      </c>
      <c r="C322" s="18">
        <v>2.0</v>
      </c>
      <c r="D322" s="18">
        <v>2.0</v>
      </c>
      <c r="E322" s="18">
        <v>0.0</v>
      </c>
      <c r="F322" s="18">
        <v>1.0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5" t="s">
        <v>124</v>
      </c>
      <c r="B323" s="20" t="s">
        <v>471</v>
      </c>
      <c r="C323" s="18">
        <v>0.0</v>
      </c>
      <c r="D323" s="18">
        <v>1.0</v>
      </c>
      <c r="E323" s="18">
        <v>1.0</v>
      </c>
      <c r="F323" s="18">
        <v>1.0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5" t="s">
        <v>124</v>
      </c>
      <c r="B324" s="20" t="s">
        <v>472</v>
      </c>
      <c r="C324" s="18">
        <v>0.0</v>
      </c>
      <c r="D324" s="18">
        <v>1.0</v>
      </c>
      <c r="E324" s="18">
        <v>1.0</v>
      </c>
      <c r="F324" s="18">
        <v>1.0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5" t="s">
        <v>124</v>
      </c>
      <c r="B325" s="20" t="s">
        <v>473</v>
      </c>
      <c r="C325" s="18">
        <v>0.0</v>
      </c>
      <c r="D325" s="18">
        <v>1.0</v>
      </c>
      <c r="E325" s="18">
        <v>1.0</v>
      </c>
      <c r="F325" s="18">
        <v>1.0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5" t="s">
        <v>124</v>
      </c>
      <c r="B326" s="20" t="s">
        <v>474</v>
      </c>
      <c r="C326" s="18">
        <v>0.0</v>
      </c>
      <c r="D326" s="18">
        <v>1.0</v>
      </c>
      <c r="E326" s="18">
        <v>1.0</v>
      </c>
      <c r="F326" s="18">
        <v>1.0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5" t="s">
        <v>125</v>
      </c>
      <c r="B327" s="20" t="s">
        <v>475</v>
      </c>
      <c r="C327" s="18">
        <v>0.0</v>
      </c>
      <c r="D327" s="18">
        <v>1.0</v>
      </c>
      <c r="E327" s="18">
        <v>1.0</v>
      </c>
      <c r="F327" s="18">
        <v>2.0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5" t="s">
        <v>125</v>
      </c>
      <c r="B328" s="20" t="s">
        <v>476</v>
      </c>
      <c r="C328" s="18">
        <v>0.0</v>
      </c>
      <c r="D328" s="18">
        <v>1.0</v>
      </c>
      <c r="E328" s="18">
        <v>1.0</v>
      </c>
      <c r="F328" s="18">
        <v>2.0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5" t="s">
        <v>125</v>
      </c>
      <c r="B329" s="20" t="s">
        <v>477</v>
      </c>
      <c r="C329" s="18">
        <v>0.0</v>
      </c>
      <c r="D329" s="18">
        <v>1.0</v>
      </c>
      <c r="E329" s="18">
        <v>1.0</v>
      </c>
      <c r="F329" s="18">
        <v>2.0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5" t="s">
        <v>126</v>
      </c>
      <c r="B330" s="20" t="s">
        <v>478</v>
      </c>
      <c r="C330" s="18">
        <v>0.0</v>
      </c>
      <c r="D330" s="18">
        <v>0.0</v>
      </c>
      <c r="E330" s="18">
        <v>1.0</v>
      </c>
      <c r="F330" s="18">
        <v>1.0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5" t="s">
        <v>127</v>
      </c>
      <c r="B331" s="20" t="s">
        <v>479</v>
      </c>
      <c r="C331" s="18">
        <v>1.0</v>
      </c>
      <c r="D331" s="18">
        <v>1.0</v>
      </c>
      <c r="E331" s="18">
        <v>1.0</v>
      </c>
      <c r="F331" s="18">
        <v>1.0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5" t="s">
        <v>128</v>
      </c>
      <c r="B332" s="20" t="s">
        <v>480</v>
      </c>
      <c r="C332" s="18">
        <v>1.0</v>
      </c>
      <c r="D332" s="18">
        <v>2.0</v>
      </c>
      <c r="E332" s="18">
        <v>1.0</v>
      </c>
      <c r="F332" s="18">
        <v>1.0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5" t="s">
        <v>128</v>
      </c>
      <c r="B333" s="20" t="s">
        <v>481</v>
      </c>
      <c r="C333" s="18">
        <v>1.0</v>
      </c>
      <c r="D333" s="18">
        <v>1.0</v>
      </c>
      <c r="E333" s="18">
        <v>1.0</v>
      </c>
      <c r="F333" s="18">
        <v>1.0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5" t="s">
        <v>128</v>
      </c>
      <c r="B334" s="20" t="s">
        <v>482</v>
      </c>
      <c r="C334" s="18">
        <v>1.0</v>
      </c>
      <c r="D334" s="18">
        <v>2.0</v>
      </c>
      <c r="E334" s="18">
        <v>1.0</v>
      </c>
      <c r="F334" s="18">
        <v>1.0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5" t="s">
        <v>128</v>
      </c>
      <c r="B335" s="20" t="s">
        <v>483</v>
      </c>
      <c r="C335" s="18">
        <v>1.0</v>
      </c>
      <c r="D335" s="18">
        <v>2.0</v>
      </c>
      <c r="E335" s="18">
        <v>1.0</v>
      </c>
      <c r="F335" s="18">
        <v>1.0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5" t="s">
        <v>129</v>
      </c>
      <c r="B336" s="20" t="s">
        <v>484</v>
      </c>
      <c r="C336" s="18">
        <v>1.0</v>
      </c>
      <c r="D336" s="18">
        <v>1.0</v>
      </c>
      <c r="E336" s="18">
        <v>1.0</v>
      </c>
      <c r="F336" s="18">
        <v>2.0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5" t="s">
        <v>129</v>
      </c>
      <c r="B337" s="20" t="s">
        <v>485</v>
      </c>
      <c r="C337" s="18">
        <v>1.0</v>
      </c>
      <c r="D337" s="18">
        <v>1.0</v>
      </c>
      <c r="E337" s="18">
        <v>1.0</v>
      </c>
      <c r="F337" s="18">
        <v>2.0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5" t="s">
        <v>129</v>
      </c>
      <c r="B338" s="20" t="s">
        <v>486</v>
      </c>
      <c r="C338" s="18">
        <v>1.0</v>
      </c>
      <c r="D338" s="18">
        <v>1.0</v>
      </c>
      <c r="E338" s="18">
        <v>1.0</v>
      </c>
      <c r="F338" s="18">
        <v>2.0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5" t="s">
        <v>129</v>
      </c>
      <c r="B339" s="20" t="s">
        <v>487</v>
      </c>
      <c r="C339" s="18">
        <v>1.0</v>
      </c>
      <c r="D339" s="18">
        <v>1.0</v>
      </c>
      <c r="E339" s="18">
        <v>1.0</v>
      </c>
      <c r="F339" s="18">
        <v>2.0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5" t="s">
        <v>130</v>
      </c>
      <c r="B340" s="20" t="s">
        <v>488</v>
      </c>
      <c r="C340" s="18">
        <v>3.0</v>
      </c>
      <c r="D340" s="18">
        <v>1.0</v>
      </c>
      <c r="E340" s="18">
        <v>1.0</v>
      </c>
      <c r="F340" s="18">
        <v>3.0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5" t="s">
        <v>130</v>
      </c>
      <c r="B341" s="20" t="s">
        <v>489</v>
      </c>
      <c r="C341" s="18">
        <v>3.0</v>
      </c>
      <c r="D341" s="18">
        <v>1.0</v>
      </c>
      <c r="E341" s="18">
        <v>1.0</v>
      </c>
      <c r="F341" s="18">
        <v>3.0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5" t="s">
        <v>130</v>
      </c>
      <c r="B342" s="20" t="s">
        <v>490</v>
      </c>
      <c r="C342" s="18">
        <v>3.0</v>
      </c>
      <c r="D342" s="18">
        <v>2.0</v>
      </c>
      <c r="E342" s="18">
        <v>1.0</v>
      </c>
      <c r="F342" s="18">
        <v>3.0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5" t="s">
        <v>131</v>
      </c>
      <c r="B343" s="20" t="s">
        <v>491</v>
      </c>
      <c r="C343" s="18">
        <v>1.0</v>
      </c>
      <c r="D343" s="18">
        <v>1.0</v>
      </c>
      <c r="E343" s="18">
        <v>1.0</v>
      </c>
      <c r="F343" s="18">
        <v>1.0</v>
      </c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5" t="s">
        <v>131</v>
      </c>
      <c r="B344" s="20" t="s">
        <v>492</v>
      </c>
      <c r="C344" s="18">
        <v>1.0</v>
      </c>
      <c r="D344" s="18">
        <v>1.0</v>
      </c>
      <c r="E344" s="18">
        <v>1.0</v>
      </c>
      <c r="F344" s="18">
        <v>1.0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5" t="s">
        <v>131</v>
      </c>
      <c r="B345" s="20" t="s">
        <v>493</v>
      </c>
      <c r="C345" s="18">
        <v>1.0</v>
      </c>
      <c r="D345" s="18">
        <v>1.0</v>
      </c>
      <c r="E345" s="18">
        <v>2.0</v>
      </c>
      <c r="F345" s="18">
        <v>1.0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5" t="s">
        <v>131</v>
      </c>
      <c r="B346" s="20" t="s">
        <v>494</v>
      </c>
      <c r="C346" s="18">
        <v>1.0</v>
      </c>
      <c r="D346" s="18">
        <v>1.0</v>
      </c>
      <c r="E346" s="18">
        <v>2.0</v>
      </c>
      <c r="F346" s="18">
        <v>1.0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5" t="s">
        <v>131</v>
      </c>
      <c r="B347" s="20" t="s">
        <v>495</v>
      </c>
      <c r="C347" s="18">
        <v>1.0</v>
      </c>
      <c r="D347" s="18">
        <v>1.0</v>
      </c>
      <c r="E347" s="18">
        <v>2.0</v>
      </c>
      <c r="F347" s="18">
        <v>1.0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5" t="s">
        <v>131</v>
      </c>
      <c r="B348" s="20" t="s">
        <v>496</v>
      </c>
      <c r="C348" s="18">
        <v>1.0</v>
      </c>
      <c r="D348" s="18">
        <v>1.0</v>
      </c>
      <c r="E348" s="18">
        <v>2.0</v>
      </c>
      <c r="F348" s="18">
        <v>1.0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5" t="s">
        <v>131</v>
      </c>
      <c r="B349" s="20" t="s">
        <v>497</v>
      </c>
      <c r="C349" s="18">
        <v>1.0</v>
      </c>
      <c r="D349" s="18">
        <v>1.0</v>
      </c>
      <c r="E349" s="18">
        <v>2.0</v>
      </c>
      <c r="F349" s="18">
        <v>1.0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5" t="s">
        <v>132</v>
      </c>
      <c r="B350" s="20" t="s">
        <v>498</v>
      </c>
      <c r="C350" s="18">
        <v>1.0</v>
      </c>
      <c r="D350" s="18">
        <v>1.0</v>
      </c>
      <c r="E350" s="18">
        <v>1.0</v>
      </c>
      <c r="F350" s="18">
        <v>1.0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5" t="s">
        <v>132</v>
      </c>
      <c r="B351" s="20" t="s">
        <v>499</v>
      </c>
      <c r="C351" s="18">
        <v>1.0</v>
      </c>
      <c r="D351" s="18">
        <v>1.0</v>
      </c>
      <c r="E351" s="18">
        <v>1.0</v>
      </c>
      <c r="F351" s="18">
        <v>1.0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5" t="s">
        <v>132</v>
      </c>
      <c r="B352" s="20" t="s">
        <v>500</v>
      </c>
      <c r="C352" s="18">
        <v>1.0</v>
      </c>
      <c r="D352" s="18">
        <v>1.0</v>
      </c>
      <c r="E352" s="18">
        <v>1.0</v>
      </c>
      <c r="F352" s="18">
        <v>2.0</v>
      </c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5" t="s">
        <v>133</v>
      </c>
      <c r="B353" s="20" t="s">
        <v>501</v>
      </c>
      <c r="C353" s="18">
        <v>1.0</v>
      </c>
      <c r="D353" s="18">
        <v>1.0</v>
      </c>
      <c r="E353" s="18">
        <v>1.0</v>
      </c>
      <c r="F353" s="18">
        <v>2.0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5" t="s">
        <v>133</v>
      </c>
      <c r="B354" s="20" t="s">
        <v>502</v>
      </c>
      <c r="C354" s="18">
        <v>2.0</v>
      </c>
      <c r="D354" s="18">
        <v>1.0</v>
      </c>
      <c r="E354" s="18">
        <v>1.0</v>
      </c>
      <c r="F354" s="18">
        <v>3.0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5" t="s">
        <v>133</v>
      </c>
      <c r="B355" s="20" t="s">
        <v>503</v>
      </c>
      <c r="C355" s="18">
        <v>2.0</v>
      </c>
      <c r="D355" s="18">
        <v>1.0</v>
      </c>
      <c r="E355" s="18">
        <v>1.0</v>
      </c>
      <c r="F355" s="18">
        <v>3.0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5" t="s">
        <v>133</v>
      </c>
      <c r="B356" s="20" t="s">
        <v>504</v>
      </c>
      <c r="C356" s="18">
        <v>1.0</v>
      </c>
      <c r="D356" s="18">
        <v>1.0</v>
      </c>
      <c r="E356" s="18">
        <v>1.0</v>
      </c>
      <c r="F356" s="18">
        <v>2.0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5" t="s">
        <v>133</v>
      </c>
      <c r="B357" s="20" t="s">
        <v>505</v>
      </c>
      <c r="C357" s="18">
        <v>1.0</v>
      </c>
      <c r="D357" s="18">
        <v>1.0</v>
      </c>
      <c r="E357" s="18">
        <v>1.0</v>
      </c>
      <c r="F357" s="18">
        <v>2.0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5" t="s">
        <v>133</v>
      </c>
      <c r="B358" s="20" t="s">
        <v>506</v>
      </c>
      <c r="C358" s="18">
        <v>1.0</v>
      </c>
      <c r="D358" s="18">
        <v>1.0</v>
      </c>
      <c r="E358" s="18">
        <v>1.0</v>
      </c>
      <c r="F358" s="18">
        <v>2.0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5" t="s">
        <v>133</v>
      </c>
      <c r="B359" s="20" t="s">
        <v>507</v>
      </c>
      <c r="C359" s="18">
        <v>1.0</v>
      </c>
      <c r="D359" s="18">
        <v>1.0</v>
      </c>
      <c r="E359" s="18">
        <v>1.0</v>
      </c>
      <c r="F359" s="18">
        <v>3.0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5" t="s">
        <v>133</v>
      </c>
      <c r="B360" s="20" t="s">
        <v>508</v>
      </c>
      <c r="C360" s="18">
        <v>1.0</v>
      </c>
      <c r="D360" s="18">
        <v>1.0</v>
      </c>
      <c r="E360" s="18">
        <v>1.0</v>
      </c>
      <c r="F360" s="18">
        <v>2.0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5" t="s">
        <v>133</v>
      </c>
      <c r="B361" s="20" t="s">
        <v>509</v>
      </c>
      <c r="C361" s="18">
        <v>1.0</v>
      </c>
      <c r="D361" s="18">
        <v>1.0</v>
      </c>
      <c r="E361" s="18">
        <v>1.0</v>
      </c>
      <c r="F361" s="18">
        <v>2.0</v>
      </c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5" t="s">
        <v>134</v>
      </c>
      <c r="B362" s="20" t="s">
        <v>510</v>
      </c>
      <c r="C362" s="18">
        <v>0.0</v>
      </c>
      <c r="D362" s="18">
        <v>2.0</v>
      </c>
      <c r="E362" s="18">
        <v>0.0</v>
      </c>
      <c r="F362" s="18">
        <v>3.0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5" t="s">
        <v>134</v>
      </c>
      <c r="B363" s="20" t="s">
        <v>511</v>
      </c>
      <c r="C363" s="18">
        <v>3.0</v>
      </c>
      <c r="D363" s="18">
        <v>2.0</v>
      </c>
      <c r="E363" s="18">
        <v>0.0</v>
      </c>
      <c r="F363" s="18">
        <v>3.0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5" t="s">
        <v>134</v>
      </c>
      <c r="B364" s="20" t="s">
        <v>512</v>
      </c>
      <c r="C364" s="18" t="s">
        <v>297</v>
      </c>
      <c r="D364" s="18" t="s">
        <v>297</v>
      </c>
      <c r="E364" s="18" t="s">
        <v>297</v>
      </c>
      <c r="F364" s="18" t="s">
        <v>297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5" t="s">
        <v>134</v>
      </c>
      <c r="B365" s="20" t="s">
        <v>513</v>
      </c>
      <c r="C365" s="18">
        <v>0.0</v>
      </c>
      <c r="D365" s="18">
        <v>2.0</v>
      </c>
      <c r="E365" s="18">
        <v>0.0</v>
      </c>
      <c r="F365" s="18">
        <v>2.0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5" t="s">
        <v>134</v>
      </c>
      <c r="B366" s="20" t="s">
        <v>514</v>
      </c>
      <c r="C366" s="18">
        <v>3.0</v>
      </c>
      <c r="D366" s="18">
        <v>2.0</v>
      </c>
      <c r="E366" s="18">
        <v>0.0</v>
      </c>
      <c r="F366" s="18">
        <v>2.0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5" t="s">
        <v>134</v>
      </c>
      <c r="B367" s="20" t="s">
        <v>515</v>
      </c>
      <c r="C367" s="18">
        <v>0.0</v>
      </c>
      <c r="D367" s="18">
        <v>1.0</v>
      </c>
      <c r="E367" s="18">
        <v>0.0</v>
      </c>
      <c r="F367" s="18">
        <v>3.0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5" t="s">
        <v>134</v>
      </c>
      <c r="B368" s="20" t="s">
        <v>516</v>
      </c>
      <c r="C368" s="18">
        <v>0.0</v>
      </c>
      <c r="D368" s="18">
        <v>1.0</v>
      </c>
      <c r="E368" s="18">
        <v>0.0</v>
      </c>
      <c r="F368" s="18">
        <v>3.0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5" t="s">
        <v>134</v>
      </c>
      <c r="B369" s="20" t="s">
        <v>517</v>
      </c>
      <c r="C369" s="18">
        <v>3.0</v>
      </c>
      <c r="D369" s="18">
        <v>2.0</v>
      </c>
      <c r="E369" s="18">
        <v>0.0</v>
      </c>
      <c r="F369" s="18">
        <v>2.0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5" t="s">
        <v>134</v>
      </c>
      <c r="B370" s="20" t="s">
        <v>518</v>
      </c>
      <c r="C370" s="18">
        <v>0.0</v>
      </c>
      <c r="D370" s="18">
        <v>2.0</v>
      </c>
      <c r="E370" s="18">
        <v>0.0</v>
      </c>
      <c r="F370" s="18">
        <v>2.0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5" t="s">
        <v>134</v>
      </c>
      <c r="B371" s="20" t="s">
        <v>519</v>
      </c>
      <c r="C371" s="18">
        <v>1.0</v>
      </c>
      <c r="D371" s="18">
        <v>1.0</v>
      </c>
      <c r="E371" s="18">
        <v>0.0</v>
      </c>
      <c r="F371" s="18">
        <v>3.0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5" t="s">
        <v>134</v>
      </c>
      <c r="B372" s="20" t="s">
        <v>520</v>
      </c>
      <c r="C372" s="18">
        <v>0.0</v>
      </c>
      <c r="D372" s="18">
        <v>1.0</v>
      </c>
      <c r="E372" s="18">
        <v>0.0</v>
      </c>
      <c r="F372" s="18">
        <v>2.0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5" t="s">
        <v>134</v>
      </c>
      <c r="B373" s="20" t="s">
        <v>521</v>
      </c>
      <c r="C373" s="18">
        <v>1.0</v>
      </c>
      <c r="D373" s="18">
        <v>2.0</v>
      </c>
      <c r="E373" s="18">
        <v>0.0</v>
      </c>
      <c r="F373" s="18">
        <v>3.0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5" t="s">
        <v>134</v>
      </c>
      <c r="B374" s="20" t="s">
        <v>522</v>
      </c>
      <c r="C374" s="18">
        <v>0.0</v>
      </c>
      <c r="D374" s="18">
        <v>2.0</v>
      </c>
      <c r="E374" s="18">
        <v>0.0</v>
      </c>
      <c r="F374" s="18">
        <v>2.0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5" t="s">
        <v>134</v>
      </c>
      <c r="B375" s="20" t="s">
        <v>523</v>
      </c>
      <c r="C375" s="18">
        <v>0.0</v>
      </c>
      <c r="D375" s="18">
        <v>1.0</v>
      </c>
      <c r="E375" s="18">
        <v>0.0</v>
      </c>
      <c r="F375" s="18">
        <v>1.0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5" t="s">
        <v>134</v>
      </c>
      <c r="B376" s="20" t="s">
        <v>524</v>
      </c>
      <c r="C376" s="18">
        <v>0.0</v>
      </c>
      <c r="D376" s="18">
        <v>1.0</v>
      </c>
      <c r="E376" s="18">
        <v>0.0</v>
      </c>
      <c r="F376" s="18">
        <v>2.0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5" t="s">
        <v>134</v>
      </c>
      <c r="B377" s="20" t="s">
        <v>525</v>
      </c>
      <c r="C377" s="18">
        <v>0.0</v>
      </c>
      <c r="D377" s="18">
        <v>2.0</v>
      </c>
      <c r="E377" s="18">
        <v>0.0</v>
      </c>
      <c r="F377" s="18">
        <v>2.0</v>
      </c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5" t="s">
        <v>134</v>
      </c>
      <c r="B378" s="20" t="s">
        <v>526</v>
      </c>
      <c r="C378" s="18">
        <v>0.0</v>
      </c>
      <c r="D378" s="18">
        <v>2.0</v>
      </c>
      <c r="E378" s="18">
        <v>0.0</v>
      </c>
      <c r="F378" s="18">
        <v>3.0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5" t="s">
        <v>134</v>
      </c>
      <c r="B379" s="20" t="s">
        <v>527</v>
      </c>
      <c r="C379" s="18">
        <v>0.0</v>
      </c>
      <c r="D379" s="18">
        <v>1.0</v>
      </c>
      <c r="E379" s="18">
        <v>0.0</v>
      </c>
      <c r="F379" s="18">
        <v>3.0</v>
      </c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5" t="s">
        <v>134</v>
      </c>
      <c r="B380" s="20" t="s">
        <v>528</v>
      </c>
      <c r="C380" s="18">
        <v>0.0</v>
      </c>
      <c r="D380" s="18">
        <v>1.0</v>
      </c>
      <c r="E380" s="18">
        <v>0.0</v>
      </c>
      <c r="F380" s="18">
        <v>1.0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5" t="s">
        <v>134</v>
      </c>
      <c r="B381" s="20" t="s">
        <v>529</v>
      </c>
      <c r="C381" s="18">
        <v>0.0</v>
      </c>
      <c r="D381" s="18">
        <v>1.0</v>
      </c>
      <c r="E381" s="18">
        <v>0.0</v>
      </c>
      <c r="F381" s="18">
        <v>3.0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5" t="s">
        <v>134</v>
      </c>
      <c r="B382" s="20" t="s">
        <v>530</v>
      </c>
      <c r="C382" s="18">
        <v>0.0</v>
      </c>
      <c r="D382" s="18">
        <v>1.0</v>
      </c>
      <c r="E382" s="18">
        <v>0.0</v>
      </c>
      <c r="F382" s="18">
        <v>2.0</v>
      </c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5" t="s">
        <v>134</v>
      </c>
      <c r="B383" s="20" t="s">
        <v>531</v>
      </c>
      <c r="C383" s="18">
        <v>0.0</v>
      </c>
      <c r="D383" s="18">
        <v>1.0</v>
      </c>
      <c r="E383" s="18">
        <v>0.0</v>
      </c>
      <c r="F383" s="18">
        <v>3.0</v>
      </c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9" t="s">
        <v>135</v>
      </c>
      <c r="B384" s="20" t="s">
        <v>532</v>
      </c>
      <c r="C384" s="18">
        <v>0.0</v>
      </c>
      <c r="D384" s="18">
        <v>0.0</v>
      </c>
      <c r="E384" s="18">
        <v>1.0</v>
      </c>
      <c r="F384" s="18">
        <v>1.0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9" t="s">
        <v>135</v>
      </c>
      <c r="B385" s="20" t="s">
        <v>533</v>
      </c>
      <c r="C385" s="18">
        <v>0.0</v>
      </c>
      <c r="D385" s="18">
        <v>0.0</v>
      </c>
      <c r="E385" s="18">
        <v>1.0</v>
      </c>
      <c r="F385" s="18">
        <v>1.0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5" t="s">
        <v>136</v>
      </c>
      <c r="B386" s="20" t="s">
        <v>534</v>
      </c>
      <c r="C386" s="18">
        <v>3.0</v>
      </c>
      <c r="D386" s="18">
        <v>1.0</v>
      </c>
      <c r="E386" s="18">
        <v>1.0</v>
      </c>
      <c r="F386" s="18">
        <v>2.0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5" t="s">
        <v>137</v>
      </c>
      <c r="B387" s="20" t="s">
        <v>535</v>
      </c>
      <c r="C387" s="18">
        <v>1.0</v>
      </c>
      <c r="D387" s="18">
        <v>1.0</v>
      </c>
      <c r="E387" s="18">
        <v>1.0</v>
      </c>
      <c r="F387" s="18">
        <v>1.0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5" t="s">
        <v>137</v>
      </c>
      <c r="B388" s="20" t="s">
        <v>536</v>
      </c>
      <c r="C388" s="18">
        <v>1.0</v>
      </c>
      <c r="D388" s="18">
        <v>1.0</v>
      </c>
      <c r="E388" s="18">
        <v>1.0</v>
      </c>
      <c r="F388" s="18">
        <v>1.0</v>
      </c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5" t="s">
        <v>137</v>
      </c>
      <c r="B389" s="20" t="s">
        <v>537</v>
      </c>
      <c r="C389" s="18">
        <v>1.0</v>
      </c>
      <c r="D389" s="18">
        <v>2.0</v>
      </c>
      <c r="E389" s="18">
        <v>1.0</v>
      </c>
      <c r="F389" s="18">
        <v>1.0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5" t="s">
        <v>138</v>
      </c>
      <c r="B390" s="20" t="s">
        <v>538</v>
      </c>
      <c r="C390" s="18">
        <v>1.0</v>
      </c>
      <c r="D390" s="18">
        <v>3.0</v>
      </c>
      <c r="E390" s="18">
        <v>1.0</v>
      </c>
      <c r="F390" s="18">
        <v>2.0</v>
      </c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5" t="s">
        <v>138</v>
      </c>
      <c r="B391" s="20" t="s">
        <v>539</v>
      </c>
      <c r="C391" s="18">
        <v>0.0</v>
      </c>
      <c r="D391" s="18">
        <v>2.0</v>
      </c>
      <c r="E391" s="18">
        <v>1.0</v>
      </c>
      <c r="F391" s="18">
        <v>2.0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5" t="s">
        <v>138</v>
      </c>
      <c r="B392" s="20" t="s">
        <v>540</v>
      </c>
      <c r="C392" s="18">
        <v>1.0</v>
      </c>
      <c r="D392" s="18">
        <v>2.0</v>
      </c>
      <c r="E392" s="18">
        <v>1.0</v>
      </c>
      <c r="F392" s="18" t="s">
        <v>541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5" t="s">
        <v>138</v>
      </c>
      <c r="B393" s="20" t="s">
        <v>542</v>
      </c>
      <c r="C393" s="18">
        <v>0.0</v>
      </c>
      <c r="D393" s="18">
        <v>2.0</v>
      </c>
      <c r="E393" s="18">
        <v>1.0</v>
      </c>
      <c r="F393" s="18">
        <v>2.0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5" t="s">
        <v>138</v>
      </c>
      <c r="B394" s="20" t="s">
        <v>543</v>
      </c>
      <c r="C394" s="18">
        <v>2.0</v>
      </c>
      <c r="D394" s="18">
        <v>2.0</v>
      </c>
      <c r="E394" s="18">
        <v>1.0</v>
      </c>
      <c r="F394" s="18">
        <v>3.0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5" t="s">
        <v>138</v>
      </c>
      <c r="B395" s="20" t="s">
        <v>544</v>
      </c>
      <c r="C395" s="18">
        <v>0.0</v>
      </c>
      <c r="D395" s="18">
        <v>2.0</v>
      </c>
      <c r="E395" s="18">
        <v>1.0</v>
      </c>
      <c r="F395" s="18">
        <v>2.0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5" t="s">
        <v>139</v>
      </c>
      <c r="B396" s="20" t="s">
        <v>545</v>
      </c>
      <c r="C396" s="18">
        <v>2.0</v>
      </c>
      <c r="D396" s="18">
        <v>1.0</v>
      </c>
      <c r="E396" s="18">
        <v>1.0</v>
      </c>
      <c r="F396" s="18">
        <v>1.0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5" t="s">
        <v>139</v>
      </c>
      <c r="B397" s="20" t="s">
        <v>546</v>
      </c>
      <c r="C397" s="18">
        <v>1.0</v>
      </c>
      <c r="D397" s="18">
        <v>1.0</v>
      </c>
      <c r="E397" s="18">
        <v>1.0</v>
      </c>
      <c r="F397" s="18">
        <v>2.0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5" t="s">
        <v>139</v>
      </c>
      <c r="B398" s="20" t="s">
        <v>547</v>
      </c>
      <c r="C398" s="18">
        <v>3.0</v>
      </c>
      <c r="D398" s="18">
        <v>1.0</v>
      </c>
      <c r="E398" s="18">
        <v>1.0</v>
      </c>
      <c r="F398" s="18">
        <v>2.0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5" t="s">
        <v>139</v>
      </c>
      <c r="B399" s="20" t="s">
        <v>548</v>
      </c>
      <c r="C399" s="18">
        <v>2.0</v>
      </c>
      <c r="D399" s="18">
        <v>1.0</v>
      </c>
      <c r="E399" s="18">
        <v>1.0</v>
      </c>
      <c r="F399" s="18">
        <v>2.0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5" t="s">
        <v>139</v>
      </c>
      <c r="B400" s="20" t="s">
        <v>549</v>
      </c>
      <c r="C400" s="18">
        <v>1.0</v>
      </c>
      <c r="D400" s="18">
        <v>1.0</v>
      </c>
      <c r="E400" s="18">
        <v>1.0</v>
      </c>
      <c r="F400" s="18">
        <v>2.0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5" t="s">
        <v>140</v>
      </c>
      <c r="B401" s="20" t="s">
        <v>550</v>
      </c>
      <c r="C401" s="18">
        <v>1.0</v>
      </c>
      <c r="D401" s="18">
        <v>1.0</v>
      </c>
      <c r="E401" s="18">
        <v>1.0</v>
      </c>
      <c r="F401" s="18">
        <v>1.0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5" t="s">
        <v>140</v>
      </c>
      <c r="B402" s="20" t="s">
        <v>551</v>
      </c>
      <c r="C402" s="18">
        <v>1.0</v>
      </c>
      <c r="D402" s="18">
        <v>1.0</v>
      </c>
      <c r="E402" s="18">
        <v>1.0</v>
      </c>
      <c r="F402" s="18">
        <v>1.0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5" t="s">
        <v>140</v>
      </c>
      <c r="B403" s="20" t="s">
        <v>552</v>
      </c>
      <c r="C403" s="18">
        <v>1.0</v>
      </c>
      <c r="D403" s="18">
        <v>1.0</v>
      </c>
      <c r="E403" s="18">
        <v>1.0</v>
      </c>
      <c r="F403" s="18">
        <v>1.0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5" t="s">
        <v>140</v>
      </c>
      <c r="B404" s="20" t="s">
        <v>553</v>
      </c>
      <c r="C404" s="18">
        <v>1.0</v>
      </c>
      <c r="D404" s="18">
        <v>1.0</v>
      </c>
      <c r="E404" s="18">
        <v>1.0</v>
      </c>
      <c r="F404" s="18">
        <v>1.0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5" t="s">
        <v>140</v>
      </c>
      <c r="B405" s="20" t="s">
        <v>554</v>
      </c>
      <c r="C405" s="18">
        <v>2.0</v>
      </c>
      <c r="D405" s="18">
        <v>1.0</v>
      </c>
      <c r="E405" s="18">
        <v>1.0</v>
      </c>
      <c r="F405" s="18">
        <v>1.0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5" t="s">
        <v>141</v>
      </c>
      <c r="B406" s="20" t="s">
        <v>555</v>
      </c>
      <c r="C406" s="18">
        <v>2.0</v>
      </c>
      <c r="D406" s="18">
        <v>1.0</v>
      </c>
      <c r="E406" s="18">
        <v>1.0</v>
      </c>
      <c r="F406" s="18">
        <v>2.0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5" t="s">
        <v>141</v>
      </c>
      <c r="B407" s="20" t="s">
        <v>556</v>
      </c>
      <c r="C407" s="18">
        <v>3.0</v>
      </c>
      <c r="D407" s="18">
        <v>2.0</v>
      </c>
      <c r="E407" s="18">
        <v>1.0</v>
      </c>
      <c r="F407" s="18">
        <v>2.0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5" t="s">
        <v>141</v>
      </c>
      <c r="B408" s="20" t="s">
        <v>557</v>
      </c>
      <c r="C408" s="18">
        <v>3.0</v>
      </c>
      <c r="D408" s="18">
        <v>1.0</v>
      </c>
      <c r="E408" s="18">
        <v>1.0</v>
      </c>
      <c r="F408" s="18">
        <v>2.0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5" t="s">
        <v>141</v>
      </c>
      <c r="B409" s="20" t="s">
        <v>558</v>
      </c>
      <c r="C409" s="18">
        <v>3.0</v>
      </c>
      <c r="D409" s="18">
        <v>2.0</v>
      </c>
      <c r="E409" s="18">
        <v>1.0</v>
      </c>
      <c r="F409" s="18">
        <v>2.0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5" t="s">
        <v>142</v>
      </c>
      <c r="B410" s="20" t="s">
        <v>559</v>
      </c>
      <c r="C410" s="18">
        <v>2.0</v>
      </c>
      <c r="D410" s="18">
        <v>1.0</v>
      </c>
      <c r="E410" s="18">
        <v>1.0</v>
      </c>
      <c r="F410" s="18">
        <v>1.0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5" t="s">
        <v>142</v>
      </c>
      <c r="B411" s="20" t="s">
        <v>560</v>
      </c>
      <c r="C411" s="18">
        <v>2.0</v>
      </c>
      <c r="D411" s="18">
        <v>1.0</v>
      </c>
      <c r="E411" s="18">
        <v>1.0</v>
      </c>
      <c r="F411" s="18">
        <v>1.0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5" t="s">
        <v>142</v>
      </c>
      <c r="B412" s="20" t="s">
        <v>561</v>
      </c>
      <c r="C412" s="18">
        <v>2.0</v>
      </c>
      <c r="D412" s="18">
        <v>1.0</v>
      </c>
      <c r="E412" s="18">
        <v>1.0</v>
      </c>
      <c r="F412" s="18">
        <v>1.0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5" t="s">
        <v>142</v>
      </c>
      <c r="B413" s="20" t="s">
        <v>562</v>
      </c>
      <c r="C413" s="18">
        <v>2.0</v>
      </c>
      <c r="D413" s="18">
        <v>1.0</v>
      </c>
      <c r="E413" s="18">
        <v>1.0</v>
      </c>
      <c r="F413" s="18">
        <v>1.0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5" t="s">
        <v>143</v>
      </c>
      <c r="B414" s="20" t="s">
        <v>563</v>
      </c>
      <c r="C414" s="18">
        <v>0.0</v>
      </c>
      <c r="D414" s="18">
        <v>0.0</v>
      </c>
      <c r="E414" s="18">
        <v>1.0</v>
      </c>
      <c r="F414" s="18">
        <v>2.0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5" t="s">
        <v>145</v>
      </c>
      <c r="B415" s="20" t="s">
        <v>564</v>
      </c>
      <c r="C415" s="18">
        <v>0.0</v>
      </c>
      <c r="D415" s="18">
        <v>3.0</v>
      </c>
      <c r="E415" s="18">
        <v>0.0</v>
      </c>
      <c r="F415" s="18">
        <v>0.0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5" t="s">
        <v>146</v>
      </c>
      <c r="B416" s="20" t="s">
        <v>565</v>
      </c>
      <c r="C416" s="18">
        <v>0.0</v>
      </c>
      <c r="D416" s="18">
        <v>2.0</v>
      </c>
      <c r="E416" s="18">
        <v>0.0</v>
      </c>
      <c r="F416" s="18">
        <v>0.0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5" t="s">
        <v>146</v>
      </c>
      <c r="B417" s="20" t="s">
        <v>566</v>
      </c>
      <c r="C417" s="18">
        <v>0.0</v>
      </c>
      <c r="D417" s="18">
        <v>2.0</v>
      </c>
      <c r="E417" s="18">
        <v>0.0</v>
      </c>
      <c r="F417" s="18">
        <v>0.0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5" t="s">
        <v>147</v>
      </c>
      <c r="B418" s="20" t="s">
        <v>567</v>
      </c>
      <c r="C418" s="18">
        <v>1.0</v>
      </c>
      <c r="D418" s="18">
        <v>2.0</v>
      </c>
      <c r="E418" s="18">
        <v>0.0</v>
      </c>
      <c r="F418" s="18">
        <v>0.0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5" t="s">
        <v>147</v>
      </c>
      <c r="B419" s="20" t="s">
        <v>568</v>
      </c>
      <c r="C419" s="18">
        <v>0.0</v>
      </c>
      <c r="D419" s="18">
        <v>2.0</v>
      </c>
      <c r="E419" s="18">
        <v>0.0</v>
      </c>
      <c r="F419" s="18">
        <v>0.0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5" t="s">
        <v>147</v>
      </c>
      <c r="B420" s="20" t="s">
        <v>569</v>
      </c>
      <c r="C420" s="18">
        <v>0.0</v>
      </c>
      <c r="D420" s="18">
        <v>2.0</v>
      </c>
      <c r="E420" s="18">
        <v>0.0</v>
      </c>
      <c r="F420" s="18">
        <v>0.0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5" t="s">
        <v>147</v>
      </c>
      <c r="B421" s="20" t="s">
        <v>570</v>
      </c>
      <c r="C421" s="18">
        <v>1.0</v>
      </c>
      <c r="D421" s="18">
        <v>2.0</v>
      </c>
      <c r="E421" s="18">
        <v>0.0</v>
      </c>
      <c r="F421" s="18">
        <v>0.0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5" t="s">
        <v>64</v>
      </c>
      <c r="B422" s="22" t="s">
        <v>571</v>
      </c>
      <c r="C422" s="23">
        <v>1.0</v>
      </c>
      <c r="D422" s="23">
        <v>3.0</v>
      </c>
      <c r="E422" s="23">
        <v>1.0</v>
      </c>
      <c r="F422" s="23">
        <v>3.0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5" t="s">
        <v>107</v>
      </c>
      <c r="B423" s="22" t="s">
        <v>572</v>
      </c>
      <c r="C423" s="23">
        <v>2.0</v>
      </c>
      <c r="D423" s="23">
        <v>0.0</v>
      </c>
      <c r="E423" s="23">
        <v>0.0</v>
      </c>
      <c r="F423" s="23">
        <v>3.0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7" t="s">
        <v>6</v>
      </c>
      <c r="B424" s="7" t="s">
        <v>6</v>
      </c>
      <c r="C424" s="24" t="s">
        <v>297</v>
      </c>
      <c r="D424" s="24" t="s">
        <v>297</v>
      </c>
      <c r="E424" s="24" t="s">
        <v>297</v>
      </c>
      <c r="F424" s="24" t="s">
        <v>297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7" t="s">
        <v>11</v>
      </c>
      <c r="B425" s="7" t="s">
        <v>11</v>
      </c>
      <c r="C425" s="24" t="s">
        <v>297</v>
      </c>
      <c r="D425" s="24" t="s">
        <v>297</v>
      </c>
      <c r="E425" s="24" t="s">
        <v>297</v>
      </c>
      <c r="F425" s="24" t="s">
        <v>297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7" t="s">
        <v>31</v>
      </c>
      <c r="B426" s="7" t="s">
        <v>31</v>
      </c>
      <c r="C426" s="24" t="s">
        <v>297</v>
      </c>
      <c r="D426" s="24" t="s">
        <v>297</v>
      </c>
      <c r="E426" s="24" t="s">
        <v>297</v>
      </c>
      <c r="F426" s="24" t="s">
        <v>297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2" t="s">
        <v>113</v>
      </c>
      <c r="B427" s="12" t="s">
        <v>113</v>
      </c>
      <c r="C427" s="24" t="s">
        <v>297</v>
      </c>
      <c r="D427" s="24" t="s">
        <v>297</v>
      </c>
      <c r="E427" s="24" t="s">
        <v>297</v>
      </c>
      <c r="F427" s="24" t="s">
        <v>297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25"/>
      <c r="D428" s="25"/>
      <c r="E428" s="25"/>
      <c r="F428" s="25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25"/>
      <c r="D429" s="25"/>
      <c r="E429" s="25"/>
      <c r="F429" s="25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25"/>
      <c r="D430" s="25"/>
      <c r="E430" s="25"/>
      <c r="F430" s="25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25"/>
      <c r="D431" s="25"/>
      <c r="E431" s="25"/>
      <c r="F431" s="25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25"/>
      <c r="D432" s="25"/>
      <c r="E432" s="25"/>
      <c r="F432" s="25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25"/>
      <c r="D433" s="25"/>
      <c r="E433" s="25"/>
      <c r="F433" s="25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25"/>
      <c r="D434" s="25"/>
      <c r="E434" s="25"/>
      <c r="F434" s="25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25"/>
      <c r="D435" s="25"/>
      <c r="E435" s="25"/>
      <c r="F435" s="25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25"/>
      <c r="D436" s="25"/>
      <c r="E436" s="25"/>
      <c r="F436" s="25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25"/>
      <c r="D437" s="25"/>
      <c r="E437" s="25"/>
      <c r="F437" s="25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25"/>
      <c r="D438" s="25"/>
      <c r="E438" s="25"/>
      <c r="F438" s="25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25"/>
      <c r="D439" s="25"/>
      <c r="E439" s="25"/>
      <c r="F439" s="25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25"/>
      <c r="D440" s="25"/>
      <c r="E440" s="25"/>
      <c r="F440" s="25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25"/>
      <c r="D441" s="25"/>
      <c r="E441" s="25"/>
      <c r="F441" s="25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25"/>
      <c r="D442" s="25"/>
      <c r="E442" s="25"/>
      <c r="F442" s="25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25"/>
      <c r="D443" s="25"/>
      <c r="E443" s="25"/>
      <c r="F443" s="25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25"/>
      <c r="D444" s="25"/>
      <c r="E444" s="25"/>
      <c r="F444" s="25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25"/>
      <c r="D445" s="25"/>
      <c r="E445" s="25"/>
      <c r="F445" s="25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25"/>
      <c r="D446" s="25"/>
      <c r="E446" s="25"/>
      <c r="F446" s="25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25"/>
      <c r="D447" s="25"/>
      <c r="E447" s="25"/>
      <c r="F447" s="25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25"/>
      <c r="D448" s="25"/>
      <c r="E448" s="25"/>
      <c r="F448" s="25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25"/>
      <c r="D449" s="25"/>
      <c r="E449" s="25"/>
      <c r="F449" s="25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25"/>
      <c r="D450" s="25"/>
      <c r="E450" s="25"/>
      <c r="F450" s="25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25"/>
      <c r="D451" s="25"/>
      <c r="E451" s="25"/>
      <c r="F451" s="25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25"/>
      <c r="D452" s="25"/>
      <c r="E452" s="25"/>
      <c r="F452" s="25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25"/>
      <c r="D453" s="25"/>
      <c r="E453" s="25"/>
      <c r="F453" s="25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25"/>
      <c r="D454" s="25"/>
      <c r="E454" s="25"/>
      <c r="F454" s="25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25"/>
      <c r="D455" s="25"/>
      <c r="E455" s="25"/>
      <c r="F455" s="25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25"/>
      <c r="D456" s="25"/>
      <c r="E456" s="25"/>
      <c r="F456" s="25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25"/>
      <c r="D457" s="25"/>
      <c r="E457" s="25"/>
      <c r="F457" s="25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25"/>
      <c r="D458" s="25"/>
      <c r="E458" s="25"/>
      <c r="F458" s="25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25"/>
      <c r="D459" s="25"/>
      <c r="E459" s="25"/>
      <c r="F459" s="25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25"/>
      <c r="D460" s="25"/>
      <c r="E460" s="25"/>
      <c r="F460" s="25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25"/>
      <c r="D461" s="25"/>
      <c r="E461" s="25"/>
      <c r="F461" s="25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25"/>
      <c r="D462" s="25"/>
      <c r="E462" s="25"/>
      <c r="F462" s="25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25"/>
      <c r="D463" s="25"/>
      <c r="E463" s="25"/>
      <c r="F463" s="25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25"/>
      <c r="D464" s="25"/>
      <c r="E464" s="25"/>
      <c r="F464" s="25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25"/>
      <c r="D465" s="25"/>
      <c r="E465" s="25"/>
      <c r="F465" s="25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25"/>
      <c r="D466" s="25"/>
      <c r="E466" s="25"/>
      <c r="F466" s="25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25"/>
      <c r="D467" s="25"/>
      <c r="E467" s="25"/>
      <c r="F467" s="25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25"/>
      <c r="D468" s="25"/>
      <c r="E468" s="25"/>
      <c r="F468" s="25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25"/>
      <c r="D469" s="25"/>
      <c r="E469" s="25"/>
      <c r="F469" s="25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25"/>
      <c r="D470" s="25"/>
      <c r="E470" s="25"/>
      <c r="F470" s="25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25"/>
      <c r="D471" s="25"/>
      <c r="E471" s="25"/>
      <c r="F471" s="25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25"/>
      <c r="D472" s="25"/>
      <c r="E472" s="25"/>
      <c r="F472" s="25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25"/>
      <c r="D473" s="25"/>
      <c r="E473" s="25"/>
      <c r="F473" s="25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25"/>
      <c r="D474" s="25"/>
      <c r="E474" s="25"/>
      <c r="F474" s="25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25"/>
      <c r="D475" s="25"/>
      <c r="E475" s="25"/>
      <c r="F475" s="25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25"/>
      <c r="D476" s="25"/>
      <c r="E476" s="25"/>
      <c r="F476" s="25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25"/>
      <c r="D477" s="25"/>
      <c r="E477" s="25"/>
      <c r="F477" s="25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25"/>
      <c r="D478" s="25"/>
      <c r="E478" s="25"/>
      <c r="F478" s="25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25"/>
      <c r="D479" s="25"/>
      <c r="E479" s="25"/>
      <c r="F479" s="25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25"/>
      <c r="D480" s="25"/>
      <c r="E480" s="25"/>
      <c r="F480" s="25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25"/>
      <c r="D481" s="25"/>
      <c r="E481" s="25"/>
      <c r="F481" s="25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25"/>
      <c r="D482" s="25"/>
      <c r="E482" s="25"/>
      <c r="F482" s="25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25"/>
      <c r="D483" s="25"/>
      <c r="E483" s="25"/>
      <c r="F483" s="25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25"/>
      <c r="D484" s="25"/>
      <c r="E484" s="25"/>
      <c r="F484" s="25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25"/>
      <c r="D485" s="25"/>
      <c r="E485" s="25"/>
      <c r="F485" s="25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25"/>
      <c r="D486" s="25"/>
      <c r="E486" s="25"/>
      <c r="F486" s="25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25"/>
      <c r="D487" s="25"/>
      <c r="E487" s="25"/>
      <c r="F487" s="25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25"/>
      <c r="D488" s="25"/>
      <c r="E488" s="25"/>
      <c r="F488" s="25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25"/>
      <c r="D489" s="25"/>
      <c r="E489" s="25"/>
      <c r="F489" s="25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25"/>
      <c r="D490" s="25"/>
      <c r="E490" s="25"/>
      <c r="F490" s="25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25"/>
      <c r="D491" s="25"/>
      <c r="E491" s="25"/>
      <c r="F491" s="25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25"/>
      <c r="D492" s="25"/>
      <c r="E492" s="25"/>
      <c r="F492" s="25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25"/>
      <c r="D493" s="25"/>
      <c r="E493" s="25"/>
      <c r="F493" s="25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25"/>
      <c r="D494" s="25"/>
      <c r="E494" s="25"/>
      <c r="F494" s="25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25"/>
      <c r="D495" s="25"/>
      <c r="E495" s="25"/>
      <c r="F495" s="25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25"/>
      <c r="D496" s="25"/>
      <c r="E496" s="25"/>
      <c r="F496" s="25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25"/>
      <c r="D497" s="25"/>
      <c r="E497" s="25"/>
      <c r="F497" s="25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25"/>
      <c r="D498" s="25"/>
      <c r="E498" s="25"/>
      <c r="F498" s="25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25"/>
      <c r="D499" s="25"/>
      <c r="E499" s="25"/>
      <c r="F499" s="25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25"/>
      <c r="D500" s="25"/>
      <c r="E500" s="25"/>
      <c r="F500" s="25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25"/>
      <c r="D501" s="25"/>
      <c r="E501" s="25"/>
      <c r="F501" s="25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25"/>
      <c r="D502" s="25"/>
      <c r="E502" s="25"/>
      <c r="F502" s="25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25"/>
      <c r="D503" s="25"/>
      <c r="E503" s="25"/>
      <c r="F503" s="25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25"/>
      <c r="D504" s="25"/>
      <c r="E504" s="25"/>
      <c r="F504" s="25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25"/>
      <c r="D505" s="25"/>
      <c r="E505" s="25"/>
      <c r="F505" s="25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25"/>
      <c r="D506" s="25"/>
      <c r="E506" s="25"/>
      <c r="F506" s="25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25"/>
      <c r="D507" s="25"/>
      <c r="E507" s="25"/>
      <c r="F507" s="25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25"/>
      <c r="D508" s="25"/>
      <c r="E508" s="25"/>
      <c r="F508" s="25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25"/>
      <c r="D509" s="25"/>
      <c r="E509" s="25"/>
      <c r="F509" s="25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25"/>
      <c r="D510" s="25"/>
      <c r="E510" s="25"/>
      <c r="F510" s="25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25"/>
      <c r="D511" s="25"/>
      <c r="E511" s="25"/>
      <c r="F511" s="25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25"/>
      <c r="D512" s="25"/>
      <c r="E512" s="25"/>
      <c r="F512" s="25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25"/>
      <c r="D513" s="25"/>
      <c r="E513" s="25"/>
      <c r="F513" s="25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25"/>
      <c r="D514" s="25"/>
      <c r="E514" s="25"/>
      <c r="F514" s="25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25"/>
      <c r="D515" s="25"/>
      <c r="E515" s="25"/>
      <c r="F515" s="25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25"/>
      <c r="D516" s="25"/>
      <c r="E516" s="25"/>
      <c r="F516" s="25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25"/>
      <c r="D517" s="25"/>
      <c r="E517" s="25"/>
      <c r="F517" s="25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25"/>
      <c r="D518" s="25"/>
      <c r="E518" s="25"/>
      <c r="F518" s="25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25"/>
      <c r="D519" s="25"/>
      <c r="E519" s="25"/>
      <c r="F519" s="25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25"/>
      <c r="D520" s="25"/>
      <c r="E520" s="25"/>
      <c r="F520" s="25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25"/>
      <c r="D521" s="25"/>
      <c r="E521" s="25"/>
      <c r="F521" s="25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25"/>
      <c r="D522" s="25"/>
      <c r="E522" s="25"/>
      <c r="F522" s="25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25"/>
      <c r="D523" s="25"/>
      <c r="E523" s="25"/>
      <c r="F523" s="25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25"/>
      <c r="D524" s="25"/>
      <c r="E524" s="25"/>
      <c r="F524" s="25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25"/>
      <c r="D525" s="25"/>
      <c r="E525" s="25"/>
      <c r="F525" s="25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25"/>
      <c r="D526" s="25"/>
      <c r="E526" s="25"/>
      <c r="F526" s="25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25"/>
      <c r="D527" s="25"/>
      <c r="E527" s="25"/>
      <c r="F527" s="25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25"/>
      <c r="D528" s="25"/>
      <c r="E528" s="25"/>
      <c r="F528" s="25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25"/>
      <c r="D529" s="25"/>
      <c r="E529" s="25"/>
      <c r="F529" s="25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25"/>
      <c r="D530" s="25"/>
      <c r="E530" s="25"/>
      <c r="F530" s="25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25"/>
      <c r="D531" s="25"/>
      <c r="E531" s="25"/>
      <c r="F531" s="25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25"/>
      <c r="D532" s="25"/>
      <c r="E532" s="25"/>
      <c r="F532" s="25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25"/>
      <c r="D533" s="25"/>
      <c r="E533" s="25"/>
      <c r="F533" s="25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25"/>
      <c r="D534" s="25"/>
      <c r="E534" s="25"/>
      <c r="F534" s="25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25"/>
      <c r="D535" s="25"/>
      <c r="E535" s="25"/>
      <c r="F535" s="25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25"/>
      <c r="D536" s="25"/>
      <c r="E536" s="25"/>
      <c r="F536" s="25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25"/>
      <c r="D537" s="25"/>
      <c r="E537" s="25"/>
      <c r="F537" s="25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25"/>
      <c r="D538" s="25"/>
      <c r="E538" s="25"/>
      <c r="F538" s="25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25"/>
      <c r="D539" s="25"/>
      <c r="E539" s="25"/>
      <c r="F539" s="25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25"/>
      <c r="D540" s="25"/>
      <c r="E540" s="25"/>
      <c r="F540" s="25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25"/>
      <c r="D541" s="25"/>
      <c r="E541" s="25"/>
      <c r="F541" s="25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25"/>
      <c r="D542" s="25"/>
      <c r="E542" s="25"/>
      <c r="F542" s="25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25"/>
      <c r="D543" s="25"/>
      <c r="E543" s="25"/>
      <c r="F543" s="25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25"/>
      <c r="D544" s="25"/>
      <c r="E544" s="25"/>
      <c r="F544" s="25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25"/>
      <c r="D545" s="25"/>
      <c r="E545" s="25"/>
      <c r="F545" s="25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25"/>
      <c r="D546" s="25"/>
      <c r="E546" s="25"/>
      <c r="F546" s="25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25"/>
      <c r="D547" s="25"/>
      <c r="E547" s="25"/>
      <c r="F547" s="25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25"/>
      <c r="D548" s="25"/>
      <c r="E548" s="25"/>
      <c r="F548" s="25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25"/>
      <c r="D549" s="25"/>
      <c r="E549" s="25"/>
      <c r="F549" s="25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25"/>
      <c r="D550" s="25"/>
      <c r="E550" s="25"/>
      <c r="F550" s="25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25"/>
      <c r="D551" s="25"/>
      <c r="E551" s="25"/>
      <c r="F551" s="25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25"/>
      <c r="D552" s="25"/>
      <c r="E552" s="25"/>
      <c r="F552" s="25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25"/>
      <c r="D553" s="25"/>
      <c r="E553" s="25"/>
      <c r="F553" s="25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25"/>
      <c r="D554" s="25"/>
      <c r="E554" s="25"/>
      <c r="F554" s="25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25"/>
      <c r="D555" s="25"/>
      <c r="E555" s="25"/>
      <c r="F555" s="25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25"/>
      <c r="D556" s="25"/>
      <c r="E556" s="25"/>
      <c r="F556" s="25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25"/>
      <c r="D557" s="25"/>
      <c r="E557" s="25"/>
      <c r="F557" s="25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25"/>
      <c r="D558" s="25"/>
      <c r="E558" s="25"/>
      <c r="F558" s="25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25"/>
      <c r="D559" s="25"/>
      <c r="E559" s="25"/>
      <c r="F559" s="25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25"/>
      <c r="D560" s="25"/>
      <c r="E560" s="25"/>
      <c r="F560" s="25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25"/>
      <c r="D561" s="25"/>
      <c r="E561" s="25"/>
      <c r="F561" s="25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25"/>
      <c r="D562" s="25"/>
      <c r="E562" s="25"/>
      <c r="F562" s="25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25"/>
      <c r="D563" s="25"/>
      <c r="E563" s="25"/>
      <c r="F563" s="25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25"/>
      <c r="D564" s="25"/>
      <c r="E564" s="25"/>
      <c r="F564" s="25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25"/>
      <c r="D565" s="25"/>
      <c r="E565" s="25"/>
      <c r="F565" s="25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25"/>
      <c r="D566" s="25"/>
      <c r="E566" s="25"/>
      <c r="F566" s="25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25"/>
      <c r="D567" s="25"/>
      <c r="E567" s="25"/>
      <c r="F567" s="25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25"/>
      <c r="D568" s="25"/>
      <c r="E568" s="25"/>
      <c r="F568" s="25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25"/>
      <c r="D569" s="25"/>
      <c r="E569" s="25"/>
      <c r="F569" s="25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25"/>
      <c r="D570" s="25"/>
      <c r="E570" s="25"/>
      <c r="F570" s="25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25"/>
      <c r="D571" s="25"/>
      <c r="E571" s="25"/>
      <c r="F571" s="25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25"/>
      <c r="D572" s="25"/>
      <c r="E572" s="25"/>
      <c r="F572" s="25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25"/>
      <c r="D573" s="25"/>
      <c r="E573" s="25"/>
      <c r="F573" s="25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25"/>
      <c r="D574" s="25"/>
      <c r="E574" s="25"/>
      <c r="F574" s="25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25"/>
      <c r="D575" s="25"/>
      <c r="E575" s="25"/>
      <c r="F575" s="25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25"/>
      <c r="D576" s="25"/>
      <c r="E576" s="25"/>
      <c r="F576" s="25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25"/>
      <c r="D577" s="25"/>
      <c r="E577" s="25"/>
      <c r="F577" s="25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25"/>
      <c r="D578" s="25"/>
      <c r="E578" s="25"/>
      <c r="F578" s="25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25"/>
      <c r="D579" s="25"/>
      <c r="E579" s="25"/>
      <c r="F579" s="25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25"/>
      <c r="D580" s="25"/>
      <c r="E580" s="25"/>
      <c r="F580" s="25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25"/>
      <c r="D581" s="25"/>
      <c r="E581" s="25"/>
      <c r="F581" s="25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25"/>
      <c r="D582" s="25"/>
      <c r="E582" s="25"/>
      <c r="F582" s="25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25"/>
      <c r="D583" s="25"/>
      <c r="E583" s="25"/>
      <c r="F583" s="25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25"/>
      <c r="D584" s="25"/>
      <c r="E584" s="25"/>
      <c r="F584" s="25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25"/>
      <c r="D585" s="25"/>
      <c r="E585" s="25"/>
      <c r="F585" s="25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25"/>
      <c r="D586" s="25"/>
      <c r="E586" s="25"/>
      <c r="F586" s="25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25"/>
      <c r="D587" s="25"/>
      <c r="E587" s="25"/>
      <c r="F587" s="25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25"/>
      <c r="D588" s="25"/>
      <c r="E588" s="25"/>
      <c r="F588" s="25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25"/>
      <c r="D589" s="25"/>
      <c r="E589" s="25"/>
      <c r="F589" s="25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25"/>
      <c r="D590" s="25"/>
      <c r="E590" s="25"/>
      <c r="F590" s="25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25"/>
      <c r="D591" s="25"/>
      <c r="E591" s="25"/>
      <c r="F591" s="25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25"/>
      <c r="D592" s="25"/>
      <c r="E592" s="25"/>
      <c r="F592" s="25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25"/>
      <c r="D593" s="25"/>
      <c r="E593" s="25"/>
      <c r="F593" s="25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25"/>
      <c r="D594" s="25"/>
      <c r="E594" s="25"/>
      <c r="F594" s="25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25"/>
      <c r="D595" s="25"/>
      <c r="E595" s="25"/>
      <c r="F595" s="25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25"/>
      <c r="D596" s="25"/>
      <c r="E596" s="25"/>
      <c r="F596" s="25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25"/>
      <c r="D597" s="25"/>
      <c r="E597" s="25"/>
      <c r="F597" s="25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25"/>
      <c r="D598" s="25"/>
      <c r="E598" s="25"/>
      <c r="F598" s="25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25"/>
      <c r="D599" s="25"/>
      <c r="E599" s="25"/>
      <c r="F599" s="25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25"/>
      <c r="D600" s="25"/>
      <c r="E600" s="25"/>
      <c r="F600" s="25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25"/>
      <c r="D601" s="25"/>
      <c r="E601" s="25"/>
      <c r="F601" s="25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25"/>
      <c r="D602" s="25"/>
      <c r="E602" s="25"/>
      <c r="F602" s="25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25"/>
      <c r="D603" s="25"/>
      <c r="E603" s="25"/>
      <c r="F603" s="25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25"/>
      <c r="D604" s="25"/>
      <c r="E604" s="25"/>
      <c r="F604" s="25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25"/>
      <c r="D605" s="25"/>
      <c r="E605" s="25"/>
      <c r="F605" s="25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25"/>
      <c r="D606" s="25"/>
      <c r="E606" s="25"/>
      <c r="F606" s="25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25"/>
      <c r="D607" s="25"/>
      <c r="E607" s="25"/>
      <c r="F607" s="25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25"/>
      <c r="D608" s="25"/>
      <c r="E608" s="25"/>
      <c r="F608" s="25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25"/>
      <c r="D609" s="25"/>
      <c r="E609" s="25"/>
      <c r="F609" s="25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25"/>
      <c r="D610" s="25"/>
      <c r="E610" s="25"/>
      <c r="F610" s="25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25"/>
      <c r="D611" s="25"/>
      <c r="E611" s="25"/>
      <c r="F611" s="25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25"/>
      <c r="D612" s="25"/>
      <c r="E612" s="25"/>
      <c r="F612" s="25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25"/>
      <c r="D613" s="25"/>
      <c r="E613" s="25"/>
      <c r="F613" s="25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25"/>
      <c r="D614" s="25"/>
      <c r="E614" s="25"/>
      <c r="F614" s="25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25"/>
      <c r="D615" s="25"/>
      <c r="E615" s="25"/>
      <c r="F615" s="25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25"/>
      <c r="D616" s="25"/>
      <c r="E616" s="25"/>
      <c r="F616" s="25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25"/>
      <c r="D617" s="25"/>
      <c r="E617" s="25"/>
      <c r="F617" s="25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25"/>
      <c r="D618" s="25"/>
      <c r="E618" s="25"/>
      <c r="F618" s="25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25"/>
      <c r="D619" s="25"/>
      <c r="E619" s="25"/>
      <c r="F619" s="25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25"/>
      <c r="D620" s="25"/>
      <c r="E620" s="25"/>
      <c r="F620" s="25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25"/>
      <c r="D621" s="25"/>
      <c r="E621" s="25"/>
      <c r="F621" s="25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25"/>
      <c r="D622" s="25"/>
      <c r="E622" s="25"/>
      <c r="F622" s="25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25"/>
      <c r="D623" s="25"/>
      <c r="E623" s="25"/>
      <c r="F623" s="25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25"/>
      <c r="D624" s="25"/>
      <c r="E624" s="25"/>
      <c r="F624" s="25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25"/>
      <c r="D625" s="25"/>
      <c r="E625" s="25"/>
      <c r="F625" s="25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25"/>
      <c r="D626" s="25"/>
      <c r="E626" s="25"/>
      <c r="F626" s="25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25"/>
      <c r="D627" s="25"/>
      <c r="E627" s="25"/>
      <c r="F627" s="25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25"/>
      <c r="D628" s="25"/>
      <c r="E628" s="25"/>
      <c r="F628" s="25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25"/>
      <c r="D629" s="25"/>
      <c r="E629" s="25"/>
      <c r="F629" s="25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25"/>
      <c r="D630" s="25"/>
      <c r="E630" s="25"/>
      <c r="F630" s="25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25"/>
      <c r="D631" s="25"/>
      <c r="E631" s="25"/>
      <c r="F631" s="25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25"/>
      <c r="D632" s="25"/>
      <c r="E632" s="25"/>
      <c r="F632" s="25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25"/>
      <c r="D633" s="25"/>
      <c r="E633" s="25"/>
      <c r="F633" s="25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25"/>
      <c r="D634" s="25"/>
      <c r="E634" s="25"/>
      <c r="F634" s="25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25"/>
      <c r="D635" s="25"/>
      <c r="E635" s="25"/>
      <c r="F635" s="25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25"/>
      <c r="D636" s="25"/>
      <c r="E636" s="25"/>
      <c r="F636" s="25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25"/>
      <c r="D637" s="25"/>
      <c r="E637" s="25"/>
      <c r="F637" s="25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25"/>
      <c r="D638" s="25"/>
      <c r="E638" s="25"/>
      <c r="F638" s="25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25"/>
      <c r="D639" s="25"/>
      <c r="E639" s="25"/>
      <c r="F639" s="25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25"/>
      <c r="D640" s="25"/>
      <c r="E640" s="25"/>
      <c r="F640" s="25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25"/>
      <c r="D641" s="25"/>
      <c r="E641" s="25"/>
      <c r="F641" s="25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25"/>
      <c r="D642" s="25"/>
      <c r="E642" s="25"/>
      <c r="F642" s="25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25"/>
      <c r="D643" s="25"/>
      <c r="E643" s="25"/>
      <c r="F643" s="25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25"/>
      <c r="D644" s="25"/>
      <c r="E644" s="25"/>
      <c r="F644" s="25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25"/>
      <c r="D645" s="25"/>
      <c r="E645" s="25"/>
      <c r="F645" s="25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25"/>
      <c r="D646" s="25"/>
      <c r="E646" s="25"/>
      <c r="F646" s="25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25"/>
      <c r="D647" s="25"/>
      <c r="E647" s="25"/>
      <c r="F647" s="25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25"/>
      <c r="D648" s="25"/>
      <c r="E648" s="25"/>
      <c r="F648" s="25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25"/>
      <c r="D649" s="25"/>
      <c r="E649" s="25"/>
      <c r="F649" s="25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25"/>
      <c r="D650" s="25"/>
      <c r="E650" s="25"/>
      <c r="F650" s="25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25"/>
      <c r="D651" s="25"/>
      <c r="E651" s="25"/>
      <c r="F651" s="25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25"/>
      <c r="D652" s="25"/>
      <c r="E652" s="25"/>
      <c r="F652" s="25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25"/>
      <c r="D653" s="25"/>
      <c r="E653" s="25"/>
      <c r="F653" s="25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25"/>
      <c r="D654" s="25"/>
      <c r="E654" s="25"/>
      <c r="F654" s="25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25"/>
      <c r="D655" s="25"/>
      <c r="E655" s="25"/>
      <c r="F655" s="25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25"/>
      <c r="D656" s="25"/>
      <c r="E656" s="25"/>
      <c r="F656" s="25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25"/>
      <c r="D657" s="25"/>
      <c r="E657" s="25"/>
      <c r="F657" s="25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25"/>
      <c r="D658" s="25"/>
      <c r="E658" s="25"/>
      <c r="F658" s="25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25"/>
      <c r="D659" s="25"/>
      <c r="E659" s="25"/>
      <c r="F659" s="25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25"/>
      <c r="D660" s="25"/>
      <c r="E660" s="25"/>
      <c r="F660" s="25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25"/>
      <c r="D661" s="25"/>
      <c r="E661" s="25"/>
      <c r="F661" s="25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25"/>
      <c r="D662" s="25"/>
      <c r="E662" s="25"/>
      <c r="F662" s="25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25"/>
      <c r="D663" s="25"/>
      <c r="E663" s="25"/>
      <c r="F663" s="25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25"/>
      <c r="D664" s="25"/>
      <c r="E664" s="25"/>
      <c r="F664" s="25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25"/>
      <c r="D665" s="25"/>
      <c r="E665" s="25"/>
      <c r="F665" s="25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25"/>
      <c r="D666" s="25"/>
      <c r="E666" s="25"/>
      <c r="F666" s="25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25"/>
      <c r="D667" s="25"/>
      <c r="E667" s="25"/>
      <c r="F667" s="25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25"/>
      <c r="D668" s="25"/>
      <c r="E668" s="25"/>
      <c r="F668" s="25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25"/>
      <c r="D669" s="25"/>
      <c r="E669" s="25"/>
      <c r="F669" s="25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25"/>
      <c r="D670" s="25"/>
      <c r="E670" s="25"/>
      <c r="F670" s="25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25"/>
      <c r="D671" s="25"/>
      <c r="E671" s="25"/>
      <c r="F671" s="25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25"/>
      <c r="D672" s="25"/>
      <c r="E672" s="25"/>
      <c r="F672" s="25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25"/>
      <c r="D673" s="25"/>
      <c r="E673" s="25"/>
      <c r="F673" s="25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25"/>
      <c r="D674" s="25"/>
      <c r="E674" s="25"/>
      <c r="F674" s="25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25"/>
      <c r="D675" s="25"/>
      <c r="E675" s="25"/>
      <c r="F675" s="25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25"/>
      <c r="D676" s="25"/>
      <c r="E676" s="25"/>
      <c r="F676" s="25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25"/>
      <c r="D677" s="25"/>
      <c r="E677" s="25"/>
      <c r="F677" s="25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25"/>
      <c r="D678" s="25"/>
      <c r="E678" s="25"/>
      <c r="F678" s="25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25"/>
      <c r="D679" s="25"/>
      <c r="E679" s="25"/>
      <c r="F679" s="25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25"/>
      <c r="D680" s="25"/>
      <c r="E680" s="25"/>
      <c r="F680" s="25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25"/>
      <c r="D681" s="25"/>
      <c r="E681" s="25"/>
      <c r="F681" s="25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25"/>
      <c r="D682" s="25"/>
      <c r="E682" s="25"/>
      <c r="F682" s="25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25"/>
      <c r="D683" s="25"/>
      <c r="E683" s="25"/>
      <c r="F683" s="25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25"/>
      <c r="D684" s="25"/>
      <c r="E684" s="25"/>
      <c r="F684" s="25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25"/>
      <c r="D685" s="25"/>
      <c r="E685" s="25"/>
      <c r="F685" s="25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25"/>
      <c r="D686" s="25"/>
      <c r="E686" s="25"/>
      <c r="F686" s="25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25"/>
      <c r="D687" s="25"/>
      <c r="E687" s="25"/>
      <c r="F687" s="25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25"/>
      <c r="D688" s="25"/>
      <c r="E688" s="25"/>
      <c r="F688" s="25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25"/>
      <c r="D689" s="25"/>
      <c r="E689" s="25"/>
      <c r="F689" s="25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25"/>
      <c r="D690" s="25"/>
      <c r="E690" s="25"/>
      <c r="F690" s="25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25"/>
      <c r="D691" s="25"/>
      <c r="E691" s="25"/>
      <c r="F691" s="25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25"/>
      <c r="D692" s="25"/>
      <c r="E692" s="25"/>
      <c r="F692" s="25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25"/>
      <c r="D693" s="25"/>
      <c r="E693" s="25"/>
      <c r="F693" s="25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25"/>
      <c r="D694" s="25"/>
      <c r="E694" s="25"/>
      <c r="F694" s="25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25"/>
      <c r="D695" s="25"/>
      <c r="E695" s="25"/>
      <c r="F695" s="25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25"/>
      <c r="D696" s="25"/>
      <c r="E696" s="25"/>
      <c r="F696" s="25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25"/>
      <c r="D697" s="25"/>
      <c r="E697" s="25"/>
      <c r="F697" s="25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25"/>
      <c r="D698" s="25"/>
      <c r="E698" s="25"/>
      <c r="F698" s="25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25"/>
      <c r="D699" s="25"/>
      <c r="E699" s="25"/>
      <c r="F699" s="25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25"/>
      <c r="D700" s="25"/>
      <c r="E700" s="25"/>
      <c r="F700" s="25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25"/>
      <c r="D701" s="25"/>
      <c r="E701" s="25"/>
      <c r="F701" s="25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25"/>
      <c r="D702" s="25"/>
      <c r="E702" s="25"/>
      <c r="F702" s="25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25"/>
      <c r="D703" s="25"/>
      <c r="E703" s="25"/>
      <c r="F703" s="25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25"/>
      <c r="D704" s="25"/>
      <c r="E704" s="25"/>
      <c r="F704" s="25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25"/>
      <c r="D705" s="25"/>
      <c r="E705" s="25"/>
      <c r="F705" s="25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25"/>
      <c r="D706" s="25"/>
      <c r="E706" s="25"/>
      <c r="F706" s="25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25"/>
      <c r="D707" s="25"/>
      <c r="E707" s="25"/>
      <c r="F707" s="25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25"/>
      <c r="D708" s="25"/>
      <c r="E708" s="25"/>
      <c r="F708" s="25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25"/>
      <c r="D709" s="25"/>
      <c r="E709" s="25"/>
      <c r="F709" s="25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25"/>
      <c r="D710" s="25"/>
      <c r="E710" s="25"/>
      <c r="F710" s="25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25"/>
      <c r="D711" s="25"/>
      <c r="E711" s="25"/>
      <c r="F711" s="25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25"/>
      <c r="D712" s="25"/>
      <c r="E712" s="25"/>
      <c r="F712" s="25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25"/>
      <c r="D713" s="25"/>
      <c r="E713" s="25"/>
      <c r="F713" s="25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25"/>
      <c r="D714" s="25"/>
      <c r="E714" s="25"/>
      <c r="F714" s="25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25"/>
      <c r="D715" s="25"/>
      <c r="E715" s="25"/>
      <c r="F715" s="25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25"/>
      <c r="D716" s="25"/>
      <c r="E716" s="25"/>
      <c r="F716" s="25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25"/>
      <c r="D717" s="25"/>
      <c r="E717" s="25"/>
      <c r="F717" s="25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25"/>
      <c r="D718" s="25"/>
      <c r="E718" s="25"/>
      <c r="F718" s="25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25"/>
      <c r="D719" s="25"/>
      <c r="E719" s="25"/>
      <c r="F719" s="25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25"/>
      <c r="D720" s="25"/>
      <c r="E720" s="25"/>
      <c r="F720" s="25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25"/>
      <c r="D721" s="25"/>
      <c r="E721" s="25"/>
      <c r="F721" s="25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25"/>
      <c r="D722" s="25"/>
      <c r="E722" s="25"/>
      <c r="F722" s="25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25"/>
      <c r="D723" s="25"/>
      <c r="E723" s="25"/>
      <c r="F723" s="25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25"/>
      <c r="D724" s="25"/>
      <c r="E724" s="25"/>
      <c r="F724" s="25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25"/>
      <c r="D725" s="25"/>
      <c r="E725" s="25"/>
      <c r="F725" s="25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25"/>
      <c r="D726" s="25"/>
      <c r="E726" s="25"/>
      <c r="F726" s="25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25"/>
      <c r="D727" s="25"/>
      <c r="E727" s="25"/>
      <c r="F727" s="25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25"/>
      <c r="D728" s="25"/>
      <c r="E728" s="25"/>
      <c r="F728" s="25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25"/>
      <c r="D729" s="25"/>
      <c r="E729" s="25"/>
      <c r="F729" s="25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25"/>
      <c r="D730" s="25"/>
      <c r="E730" s="25"/>
      <c r="F730" s="25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25"/>
      <c r="D731" s="25"/>
      <c r="E731" s="25"/>
      <c r="F731" s="25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25"/>
      <c r="D732" s="25"/>
      <c r="E732" s="25"/>
      <c r="F732" s="25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25"/>
      <c r="D733" s="25"/>
      <c r="E733" s="25"/>
      <c r="F733" s="25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25"/>
      <c r="D734" s="25"/>
      <c r="E734" s="25"/>
      <c r="F734" s="25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25"/>
      <c r="D735" s="25"/>
      <c r="E735" s="25"/>
      <c r="F735" s="25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25"/>
      <c r="D736" s="25"/>
      <c r="E736" s="25"/>
      <c r="F736" s="25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25"/>
      <c r="D737" s="25"/>
      <c r="E737" s="25"/>
      <c r="F737" s="25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25"/>
      <c r="D738" s="25"/>
      <c r="E738" s="25"/>
      <c r="F738" s="25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25"/>
      <c r="D739" s="25"/>
      <c r="E739" s="25"/>
      <c r="F739" s="25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25"/>
      <c r="D740" s="25"/>
      <c r="E740" s="25"/>
      <c r="F740" s="25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25"/>
      <c r="D741" s="25"/>
      <c r="E741" s="25"/>
      <c r="F741" s="25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25"/>
      <c r="D742" s="25"/>
      <c r="E742" s="25"/>
      <c r="F742" s="25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25"/>
      <c r="D743" s="25"/>
      <c r="E743" s="25"/>
      <c r="F743" s="25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25"/>
      <c r="D744" s="25"/>
      <c r="E744" s="25"/>
      <c r="F744" s="25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25"/>
      <c r="D745" s="25"/>
      <c r="E745" s="25"/>
      <c r="F745" s="25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25"/>
      <c r="D746" s="25"/>
      <c r="E746" s="25"/>
      <c r="F746" s="25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25"/>
      <c r="D747" s="25"/>
      <c r="E747" s="25"/>
      <c r="F747" s="25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25"/>
      <c r="D748" s="25"/>
      <c r="E748" s="25"/>
      <c r="F748" s="25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25"/>
      <c r="D749" s="25"/>
      <c r="E749" s="25"/>
      <c r="F749" s="25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25"/>
      <c r="D750" s="25"/>
      <c r="E750" s="25"/>
      <c r="F750" s="25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25"/>
      <c r="D751" s="25"/>
      <c r="E751" s="25"/>
      <c r="F751" s="25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25"/>
      <c r="D752" s="25"/>
      <c r="E752" s="25"/>
      <c r="F752" s="25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25"/>
      <c r="D753" s="25"/>
      <c r="E753" s="25"/>
      <c r="F753" s="25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25"/>
      <c r="D754" s="25"/>
      <c r="E754" s="25"/>
      <c r="F754" s="25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25"/>
      <c r="D755" s="25"/>
      <c r="E755" s="25"/>
      <c r="F755" s="25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25"/>
      <c r="D756" s="25"/>
      <c r="E756" s="25"/>
      <c r="F756" s="25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25"/>
      <c r="D757" s="25"/>
      <c r="E757" s="25"/>
      <c r="F757" s="25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25"/>
      <c r="D758" s="25"/>
      <c r="E758" s="25"/>
      <c r="F758" s="25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25"/>
      <c r="D759" s="25"/>
      <c r="E759" s="25"/>
      <c r="F759" s="25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25"/>
      <c r="D760" s="25"/>
      <c r="E760" s="25"/>
      <c r="F760" s="25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25"/>
      <c r="D761" s="25"/>
      <c r="E761" s="25"/>
      <c r="F761" s="25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25"/>
      <c r="D762" s="25"/>
      <c r="E762" s="25"/>
      <c r="F762" s="25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25"/>
      <c r="D763" s="25"/>
      <c r="E763" s="25"/>
      <c r="F763" s="25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25"/>
      <c r="D764" s="25"/>
      <c r="E764" s="25"/>
      <c r="F764" s="25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25"/>
      <c r="D765" s="25"/>
      <c r="E765" s="25"/>
      <c r="F765" s="25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25"/>
      <c r="D766" s="25"/>
      <c r="E766" s="25"/>
      <c r="F766" s="25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25"/>
      <c r="D767" s="25"/>
      <c r="E767" s="25"/>
      <c r="F767" s="25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25"/>
      <c r="D768" s="25"/>
      <c r="E768" s="25"/>
      <c r="F768" s="25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25"/>
      <c r="D769" s="25"/>
      <c r="E769" s="25"/>
      <c r="F769" s="25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25"/>
      <c r="D770" s="25"/>
      <c r="E770" s="25"/>
      <c r="F770" s="25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25"/>
      <c r="D771" s="25"/>
      <c r="E771" s="25"/>
      <c r="F771" s="25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25"/>
      <c r="D772" s="25"/>
      <c r="E772" s="25"/>
      <c r="F772" s="25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25"/>
      <c r="D773" s="25"/>
      <c r="E773" s="25"/>
      <c r="F773" s="25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25"/>
      <c r="D774" s="25"/>
      <c r="E774" s="25"/>
      <c r="F774" s="25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25"/>
      <c r="D775" s="25"/>
      <c r="E775" s="25"/>
      <c r="F775" s="25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25"/>
      <c r="D776" s="25"/>
      <c r="E776" s="25"/>
      <c r="F776" s="25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25"/>
      <c r="D777" s="25"/>
      <c r="E777" s="25"/>
      <c r="F777" s="25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25"/>
      <c r="D778" s="25"/>
      <c r="E778" s="25"/>
      <c r="F778" s="25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25"/>
      <c r="D779" s="25"/>
      <c r="E779" s="25"/>
      <c r="F779" s="25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25"/>
      <c r="D780" s="25"/>
      <c r="E780" s="25"/>
      <c r="F780" s="25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25"/>
      <c r="D781" s="25"/>
      <c r="E781" s="25"/>
      <c r="F781" s="25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25"/>
      <c r="D782" s="25"/>
      <c r="E782" s="25"/>
      <c r="F782" s="25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25"/>
      <c r="D783" s="25"/>
      <c r="E783" s="25"/>
      <c r="F783" s="25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25"/>
      <c r="D784" s="25"/>
      <c r="E784" s="25"/>
      <c r="F784" s="25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25"/>
      <c r="D785" s="25"/>
      <c r="E785" s="25"/>
      <c r="F785" s="25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25"/>
      <c r="D786" s="25"/>
      <c r="E786" s="25"/>
      <c r="F786" s="25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25"/>
      <c r="D787" s="25"/>
      <c r="E787" s="25"/>
      <c r="F787" s="25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25"/>
      <c r="D788" s="25"/>
      <c r="E788" s="25"/>
      <c r="F788" s="25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25"/>
      <c r="D789" s="25"/>
      <c r="E789" s="25"/>
      <c r="F789" s="25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25"/>
      <c r="D790" s="25"/>
      <c r="E790" s="25"/>
      <c r="F790" s="25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25"/>
      <c r="D791" s="25"/>
      <c r="E791" s="25"/>
      <c r="F791" s="25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25"/>
      <c r="D792" s="25"/>
      <c r="E792" s="25"/>
      <c r="F792" s="25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25"/>
      <c r="D793" s="25"/>
      <c r="E793" s="25"/>
      <c r="F793" s="25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25"/>
      <c r="D794" s="25"/>
      <c r="E794" s="25"/>
      <c r="F794" s="25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25"/>
      <c r="D795" s="25"/>
      <c r="E795" s="25"/>
      <c r="F795" s="25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25"/>
      <c r="D796" s="25"/>
      <c r="E796" s="25"/>
      <c r="F796" s="25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25"/>
      <c r="D797" s="25"/>
      <c r="E797" s="25"/>
      <c r="F797" s="25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25"/>
      <c r="D798" s="25"/>
      <c r="E798" s="25"/>
      <c r="F798" s="25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25"/>
      <c r="D799" s="25"/>
      <c r="E799" s="25"/>
      <c r="F799" s="25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25"/>
      <c r="D800" s="25"/>
      <c r="E800" s="25"/>
      <c r="F800" s="25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25"/>
      <c r="D801" s="25"/>
      <c r="E801" s="25"/>
      <c r="F801" s="25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25"/>
      <c r="D802" s="25"/>
      <c r="E802" s="25"/>
      <c r="F802" s="25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25"/>
      <c r="D803" s="25"/>
      <c r="E803" s="25"/>
      <c r="F803" s="25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25"/>
      <c r="D804" s="25"/>
      <c r="E804" s="25"/>
      <c r="F804" s="25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25"/>
      <c r="D805" s="25"/>
      <c r="E805" s="25"/>
      <c r="F805" s="25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25"/>
      <c r="D806" s="25"/>
      <c r="E806" s="25"/>
      <c r="F806" s="25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25"/>
      <c r="D807" s="25"/>
      <c r="E807" s="25"/>
      <c r="F807" s="25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25"/>
      <c r="D808" s="25"/>
      <c r="E808" s="25"/>
      <c r="F808" s="25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25"/>
      <c r="D809" s="25"/>
      <c r="E809" s="25"/>
      <c r="F809" s="25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25"/>
      <c r="D810" s="25"/>
      <c r="E810" s="25"/>
      <c r="F810" s="25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25"/>
      <c r="D811" s="25"/>
      <c r="E811" s="25"/>
      <c r="F811" s="25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25"/>
      <c r="D812" s="25"/>
      <c r="E812" s="25"/>
      <c r="F812" s="25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25"/>
      <c r="D813" s="25"/>
      <c r="E813" s="25"/>
      <c r="F813" s="25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25"/>
      <c r="D814" s="25"/>
      <c r="E814" s="25"/>
      <c r="F814" s="25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25"/>
      <c r="D815" s="25"/>
      <c r="E815" s="25"/>
      <c r="F815" s="25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25"/>
      <c r="D816" s="25"/>
      <c r="E816" s="25"/>
      <c r="F816" s="25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25"/>
      <c r="D817" s="25"/>
      <c r="E817" s="25"/>
      <c r="F817" s="25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25"/>
      <c r="D818" s="25"/>
      <c r="E818" s="25"/>
      <c r="F818" s="25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25"/>
      <c r="D819" s="25"/>
      <c r="E819" s="25"/>
      <c r="F819" s="25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25"/>
      <c r="D820" s="25"/>
      <c r="E820" s="25"/>
      <c r="F820" s="25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25"/>
      <c r="D821" s="25"/>
      <c r="E821" s="25"/>
      <c r="F821" s="25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25"/>
      <c r="D822" s="25"/>
      <c r="E822" s="25"/>
      <c r="F822" s="25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25"/>
      <c r="D823" s="25"/>
      <c r="E823" s="25"/>
      <c r="F823" s="25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25"/>
      <c r="D824" s="25"/>
      <c r="E824" s="25"/>
      <c r="F824" s="25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25"/>
      <c r="D825" s="25"/>
      <c r="E825" s="25"/>
      <c r="F825" s="25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25"/>
      <c r="D826" s="25"/>
      <c r="E826" s="25"/>
      <c r="F826" s="25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25"/>
      <c r="D827" s="25"/>
      <c r="E827" s="25"/>
      <c r="F827" s="25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25"/>
      <c r="D828" s="25"/>
      <c r="E828" s="25"/>
      <c r="F828" s="25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25"/>
      <c r="D829" s="25"/>
      <c r="E829" s="25"/>
      <c r="F829" s="25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25"/>
      <c r="D830" s="25"/>
      <c r="E830" s="25"/>
      <c r="F830" s="25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25"/>
      <c r="D831" s="25"/>
      <c r="E831" s="25"/>
      <c r="F831" s="25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25"/>
      <c r="D832" s="25"/>
      <c r="E832" s="25"/>
      <c r="F832" s="25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25"/>
      <c r="D833" s="25"/>
      <c r="E833" s="25"/>
      <c r="F833" s="25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25"/>
      <c r="D834" s="25"/>
      <c r="E834" s="25"/>
      <c r="F834" s="25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25"/>
      <c r="D835" s="25"/>
      <c r="E835" s="25"/>
      <c r="F835" s="25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25"/>
      <c r="D836" s="25"/>
      <c r="E836" s="25"/>
      <c r="F836" s="25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25"/>
      <c r="D837" s="25"/>
      <c r="E837" s="25"/>
      <c r="F837" s="25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25"/>
      <c r="D838" s="25"/>
      <c r="E838" s="25"/>
      <c r="F838" s="25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25"/>
      <c r="D839" s="25"/>
      <c r="E839" s="25"/>
      <c r="F839" s="25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25"/>
      <c r="D840" s="25"/>
      <c r="E840" s="25"/>
      <c r="F840" s="25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25"/>
      <c r="D841" s="25"/>
      <c r="E841" s="25"/>
      <c r="F841" s="25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25"/>
      <c r="D842" s="25"/>
      <c r="E842" s="25"/>
      <c r="F842" s="25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25"/>
      <c r="D843" s="25"/>
      <c r="E843" s="25"/>
      <c r="F843" s="25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25"/>
      <c r="D844" s="25"/>
      <c r="E844" s="25"/>
      <c r="F844" s="25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25"/>
      <c r="D845" s="25"/>
      <c r="E845" s="25"/>
      <c r="F845" s="25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25"/>
      <c r="D846" s="25"/>
      <c r="E846" s="25"/>
      <c r="F846" s="25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25"/>
      <c r="D847" s="25"/>
      <c r="E847" s="25"/>
      <c r="F847" s="25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25"/>
      <c r="D848" s="25"/>
      <c r="E848" s="25"/>
      <c r="F848" s="25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25"/>
      <c r="D849" s="25"/>
      <c r="E849" s="25"/>
      <c r="F849" s="25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25"/>
      <c r="D850" s="25"/>
      <c r="E850" s="25"/>
      <c r="F850" s="25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25"/>
      <c r="D851" s="25"/>
      <c r="E851" s="25"/>
      <c r="F851" s="25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25"/>
      <c r="D852" s="25"/>
      <c r="E852" s="25"/>
      <c r="F852" s="25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25"/>
      <c r="D853" s="25"/>
      <c r="E853" s="25"/>
      <c r="F853" s="25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25"/>
      <c r="D854" s="25"/>
      <c r="E854" s="25"/>
      <c r="F854" s="25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25"/>
      <c r="D855" s="25"/>
      <c r="E855" s="25"/>
      <c r="F855" s="25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25"/>
      <c r="D856" s="25"/>
      <c r="E856" s="25"/>
      <c r="F856" s="25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25"/>
      <c r="D857" s="25"/>
      <c r="E857" s="25"/>
      <c r="F857" s="25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25"/>
      <c r="D858" s="25"/>
      <c r="E858" s="25"/>
      <c r="F858" s="25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25"/>
      <c r="D859" s="25"/>
      <c r="E859" s="25"/>
      <c r="F859" s="25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25"/>
      <c r="D860" s="25"/>
      <c r="E860" s="25"/>
      <c r="F860" s="25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25"/>
      <c r="D861" s="25"/>
      <c r="E861" s="25"/>
      <c r="F861" s="25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25"/>
      <c r="D862" s="25"/>
      <c r="E862" s="25"/>
      <c r="F862" s="25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25"/>
      <c r="D863" s="25"/>
      <c r="E863" s="25"/>
      <c r="F863" s="25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25"/>
      <c r="D864" s="25"/>
      <c r="E864" s="25"/>
      <c r="F864" s="25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25"/>
      <c r="D865" s="25"/>
      <c r="E865" s="25"/>
      <c r="F865" s="25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25"/>
      <c r="D866" s="25"/>
      <c r="E866" s="25"/>
      <c r="F866" s="25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25"/>
      <c r="D867" s="25"/>
      <c r="E867" s="25"/>
      <c r="F867" s="25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25"/>
      <c r="D868" s="25"/>
      <c r="E868" s="25"/>
      <c r="F868" s="25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25"/>
      <c r="D869" s="25"/>
      <c r="E869" s="25"/>
      <c r="F869" s="25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25"/>
      <c r="D870" s="25"/>
      <c r="E870" s="25"/>
      <c r="F870" s="25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25"/>
      <c r="D871" s="25"/>
      <c r="E871" s="25"/>
      <c r="F871" s="25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25"/>
      <c r="D872" s="25"/>
      <c r="E872" s="25"/>
      <c r="F872" s="25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25"/>
      <c r="D873" s="25"/>
      <c r="E873" s="25"/>
      <c r="F873" s="25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25"/>
      <c r="D874" s="25"/>
      <c r="E874" s="25"/>
      <c r="F874" s="25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25"/>
      <c r="D875" s="25"/>
      <c r="E875" s="25"/>
      <c r="F875" s="25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25"/>
      <c r="D876" s="25"/>
      <c r="E876" s="25"/>
      <c r="F876" s="25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25"/>
      <c r="D877" s="25"/>
      <c r="E877" s="25"/>
      <c r="F877" s="25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25"/>
      <c r="D878" s="25"/>
      <c r="E878" s="25"/>
      <c r="F878" s="25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25"/>
      <c r="D879" s="25"/>
      <c r="E879" s="25"/>
      <c r="F879" s="25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25"/>
      <c r="D880" s="25"/>
      <c r="E880" s="25"/>
      <c r="F880" s="25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25"/>
      <c r="D881" s="25"/>
      <c r="E881" s="25"/>
      <c r="F881" s="25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25"/>
      <c r="D882" s="25"/>
      <c r="E882" s="25"/>
      <c r="F882" s="25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25"/>
      <c r="D883" s="25"/>
      <c r="E883" s="25"/>
      <c r="F883" s="25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25"/>
      <c r="D884" s="25"/>
      <c r="E884" s="25"/>
      <c r="F884" s="25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25"/>
      <c r="D885" s="25"/>
      <c r="E885" s="25"/>
      <c r="F885" s="25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25"/>
      <c r="D886" s="25"/>
      <c r="E886" s="25"/>
      <c r="F886" s="25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25"/>
      <c r="D887" s="25"/>
      <c r="E887" s="25"/>
      <c r="F887" s="25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25"/>
      <c r="D888" s="25"/>
      <c r="E888" s="25"/>
      <c r="F888" s="25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25"/>
      <c r="D889" s="25"/>
      <c r="E889" s="25"/>
      <c r="F889" s="25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25"/>
      <c r="D890" s="25"/>
      <c r="E890" s="25"/>
      <c r="F890" s="25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25"/>
      <c r="D891" s="25"/>
      <c r="E891" s="25"/>
      <c r="F891" s="25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25"/>
      <c r="D892" s="25"/>
      <c r="E892" s="25"/>
      <c r="F892" s="25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25"/>
      <c r="D893" s="25"/>
      <c r="E893" s="25"/>
      <c r="F893" s="25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25"/>
      <c r="D894" s="25"/>
      <c r="E894" s="25"/>
      <c r="F894" s="25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25"/>
      <c r="D895" s="25"/>
      <c r="E895" s="25"/>
      <c r="F895" s="25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25"/>
      <c r="D896" s="25"/>
      <c r="E896" s="25"/>
      <c r="F896" s="25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25"/>
      <c r="D897" s="25"/>
      <c r="E897" s="25"/>
      <c r="F897" s="25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25"/>
      <c r="D898" s="25"/>
      <c r="E898" s="25"/>
      <c r="F898" s="25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25"/>
      <c r="D899" s="25"/>
      <c r="E899" s="25"/>
      <c r="F899" s="25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25"/>
      <c r="D900" s="25"/>
      <c r="E900" s="25"/>
      <c r="F900" s="25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25"/>
      <c r="D901" s="25"/>
      <c r="E901" s="25"/>
      <c r="F901" s="25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25"/>
      <c r="D902" s="25"/>
      <c r="E902" s="25"/>
      <c r="F902" s="25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25"/>
      <c r="D903" s="25"/>
      <c r="E903" s="25"/>
      <c r="F903" s="25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25"/>
      <c r="D904" s="25"/>
      <c r="E904" s="25"/>
      <c r="F904" s="25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25"/>
      <c r="D905" s="25"/>
      <c r="E905" s="25"/>
      <c r="F905" s="25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25"/>
      <c r="D906" s="25"/>
      <c r="E906" s="25"/>
      <c r="F906" s="25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25"/>
      <c r="D907" s="25"/>
      <c r="E907" s="25"/>
      <c r="F907" s="25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25"/>
      <c r="D908" s="25"/>
      <c r="E908" s="25"/>
      <c r="F908" s="25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25"/>
      <c r="D909" s="25"/>
      <c r="E909" s="25"/>
      <c r="F909" s="25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25"/>
      <c r="D910" s="25"/>
      <c r="E910" s="25"/>
      <c r="F910" s="25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25"/>
      <c r="D911" s="25"/>
      <c r="E911" s="25"/>
      <c r="F911" s="25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25"/>
      <c r="D912" s="25"/>
      <c r="E912" s="25"/>
      <c r="F912" s="25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25"/>
      <c r="D913" s="25"/>
      <c r="E913" s="25"/>
      <c r="F913" s="25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25"/>
      <c r="D914" s="25"/>
      <c r="E914" s="25"/>
      <c r="F914" s="25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25"/>
      <c r="D915" s="25"/>
      <c r="E915" s="25"/>
      <c r="F915" s="25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25"/>
      <c r="D916" s="25"/>
      <c r="E916" s="25"/>
      <c r="F916" s="25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25"/>
      <c r="D917" s="25"/>
      <c r="E917" s="25"/>
      <c r="F917" s="25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25"/>
      <c r="D918" s="25"/>
      <c r="E918" s="25"/>
      <c r="F918" s="25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25"/>
      <c r="D919" s="25"/>
      <c r="E919" s="25"/>
      <c r="F919" s="25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25"/>
      <c r="D920" s="25"/>
      <c r="E920" s="25"/>
      <c r="F920" s="25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25"/>
      <c r="D921" s="25"/>
      <c r="E921" s="25"/>
      <c r="F921" s="25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25"/>
      <c r="D922" s="25"/>
      <c r="E922" s="25"/>
      <c r="F922" s="25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25"/>
      <c r="D923" s="25"/>
      <c r="E923" s="25"/>
      <c r="F923" s="25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25"/>
      <c r="D924" s="25"/>
      <c r="E924" s="25"/>
      <c r="F924" s="25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25"/>
      <c r="D925" s="25"/>
      <c r="E925" s="25"/>
      <c r="F925" s="25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25"/>
      <c r="D926" s="25"/>
      <c r="E926" s="25"/>
      <c r="F926" s="25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25"/>
      <c r="D927" s="25"/>
      <c r="E927" s="25"/>
      <c r="F927" s="25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25"/>
      <c r="D928" s="25"/>
      <c r="E928" s="25"/>
      <c r="F928" s="25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25"/>
      <c r="D929" s="25"/>
      <c r="E929" s="25"/>
      <c r="F929" s="25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25"/>
      <c r="D930" s="25"/>
      <c r="E930" s="25"/>
      <c r="F930" s="25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25"/>
      <c r="D931" s="25"/>
      <c r="E931" s="25"/>
      <c r="F931" s="25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25"/>
      <c r="D932" s="25"/>
      <c r="E932" s="25"/>
      <c r="F932" s="25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25"/>
      <c r="D933" s="25"/>
      <c r="E933" s="25"/>
      <c r="F933" s="25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25"/>
      <c r="D934" s="25"/>
      <c r="E934" s="25"/>
      <c r="F934" s="25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25"/>
      <c r="D935" s="25"/>
      <c r="E935" s="25"/>
      <c r="F935" s="25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25"/>
      <c r="D936" s="25"/>
      <c r="E936" s="25"/>
      <c r="F936" s="25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25"/>
      <c r="D937" s="25"/>
      <c r="E937" s="25"/>
      <c r="F937" s="25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25"/>
      <c r="D938" s="25"/>
      <c r="E938" s="25"/>
      <c r="F938" s="25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25"/>
      <c r="D939" s="25"/>
      <c r="E939" s="25"/>
      <c r="F939" s="25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25"/>
      <c r="D940" s="25"/>
      <c r="E940" s="25"/>
      <c r="F940" s="25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25"/>
      <c r="D941" s="25"/>
      <c r="E941" s="25"/>
      <c r="F941" s="25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25"/>
      <c r="D942" s="25"/>
      <c r="E942" s="25"/>
      <c r="F942" s="25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25"/>
      <c r="D943" s="25"/>
      <c r="E943" s="25"/>
      <c r="F943" s="25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25"/>
      <c r="D944" s="25"/>
      <c r="E944" s="25"/>
      <c r="F944" s="25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25"/>
      <c r="D945" s="25"/>
      <c r="E945" s="25"/>
      <c r="F945" s="25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25"/>
      <c r="D946" s="25"/>
      <c r="E946" s="25"/>
      <c r="F946" s="25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25"/>
      <c r="D947" s="25"/>
      <c r="E947" s="25"/>
      <c r="F947" s="25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25"/>
      <c r="D948" s="25"/>
      <c r="E948" s="25"/>
      <c r="F948" s="25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25"/>
      <c r="D949" s="25"/>
      <c r="E949" s="25"/>
      <c r="F949" s="25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25"/>
      <c r="D950" s="25"/>
      <c r="E950" s="25"/>
      <c r="F950" s="25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25"/>
      <c r="D951" s="25"/>
      <c r="E951" s="25"/>
      <c r="F951" s="25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25"/>
      <c r="D952" s="25"/>
      <c r="E952" s="25"/>
      <c r="F952" s="25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25"/>
      <c r="D953" s="25"/>
      <c r="E953" s="25"/>
      <c r="F953" s="25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25"/>
      <c r="D954" s="25"/>
      <c r="E954" s="25"/>
      <c r="F954" s="25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25"/>
      <c r="D955" s="25"/>
      <c r="E955" s="25"/>
      <c r="F955" s="25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25"/>
      <c r="D956" s="25"/>
      <c r="E956" s="25"/>
      <c r="F956" s="25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25"/>
      <c r="D957" s="25"/>
      <c r="E957" s="25"/>
      <c r="F957" s="25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25"/>
      <c r="D958" s="25"/>
      <c r="E958" s="25"/>
      <c r="F958" s="25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25"/>
      <c r="D959" s="25"/>
      <c r="E959" s="25"/>
      <c r="F959" s="25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25"/>
      <c r="D960" s="25"/>
      <c r="E960" s="25"/>
      <c r="F960" s="25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25"/>
      <c r="D961" s="25"/>
      <c r="E961" s="25"/>
      <c r="F961" s="25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25"/>
      <c r="D962" s="25"/>
      <c r="E962" s="25"/>
      <c r="F962" s="25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25"/>
      <c r="D963" s="25"/>
      <c r="E963" s="25"/>
      <c r="F963" s="25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25"/>
      <c r="D964" s="25"/>
      <c r="E964" s="25"/>
      <c r="F964" s="25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25"/>
      <c r="D965" s="25"/>
      <c r="E965" s="25"/>
      <c r="F965" s="25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25"/>
      <c r="D966" s="25"/>
      <c r="E966" s="25"/>
      <c r="F966" s="25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25"/>
      <c r="D967" s="25"/>
      <c r="E967" s="25"/>
      <c r="F967" s="25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25"/>
      <c r="D968" s="25"/>
      <c r="E968" s="25"/>
      <c r="F968" s="25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25"/>
      <c r="D969" s="25"/>
      <c r="E969" s="25"/>
      <c r="F969" s="25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25"/>
      <c r="D970" s="25"/>
      <c r="E970" s="25"/>
      <c r="F970" s="25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25"/>
      <c r="D971" s="25"/>
      <c r="E971" s="25"/>
      <c r="F971" s="25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25"/>
      <c r="D972" s="25"/>
      <c r="E972" s="25"/>
      <c r="F972" s="25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25"/>
      <c r="D973" s="25"/>
      <c r="E973" s="25"/>
      <c r="F973" s="25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25"/>
      <c r="D974" s="25"/>
      <c r="E974" s="25"/>
      <c r="F974" s="25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25"/>
      <c r="D975" s="25"/>
      <c r="E975" s="25"/>
      <c r="F975" s="25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25"/>
      <c r="D976" s="25"/>
      <c r="E976" s="25"/>
      <c r="F976" s="25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25"/>
      <c r="D977" s="25"/>
      <c r="E977" s="25"/>
      <c r="F977" s="25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25"/>
      <c r="D978" s="25"/>
      <c r="E978" s="25"/>
      <c r="F978" s="25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25"/>
      <c r="D979" s="25"/>
      <c r="E979" s="25"/>
      <c r="F979" s="25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25"/>
      <c r="D980" s="25"/>
      <c r="E980" s="25"/>
      <c r="F980" s="25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25"/>
      <c r="D981" s="25"/>
      <c r="E981" s="25"/>
      <c r="F981" s="25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25"/>
      <c r="D982" s="25"/>
      <c r="E982" s="25"/>
      <c r="F982" s="25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25"/>
      <c r="D983" s="25"/>
      <c r="E983" s="25"/>
      <c r="F983" s="25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25"/>
      <c r="D984" s="25"/>
      <c r="E984" s="25"/>
      <c r="F984" s="25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25"/>
      <c r="D985" s="25"/>
      <c r="E985" s="25"/>
      <c r="F985" s="25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25"/>
      <c r="D986" s="25"/>
      <c r="E986" s="25"/>
      <c r="F986" s="25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25"/>
      <c r="D987" s="25"/>
      <c r="E987" s="25"/>
      <c r="F987" s="25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25"/>
      <c r="D988" s="25"/>
      <c r="E988" s="25"/>
      <c r="F988" s="25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25"/>
      <c r="D989" s="25"/>
      <c r="E989" s="25"/>
      <c r="F989" s="25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25"/>
      <c r="D990" s="25"/>
      <c r="E990" s="25"/>
      <c r="F990" s="25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25"/>
      <c r="D991" s="25"/>
      <c r="E991" s="25"/>
      <c r="F991" s="25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25"/>
      <c r="D992" s="25"/>
      <c r="E992" s="25"/>
      <c r="F992" s="25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25"/>
      <c r="D993" s="25"/>
      <c r="E993" s="25"/>
      <c r="F993" s="25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25"/>
      <c r="D994" s="25"/>
      <c r="E994" s="25"/>
      <c r="F994" s="25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25"/>
      <c r="D995" s="25"/>
      <c r="E995" s="25"/>
      <c r="F995" s="25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25"/>
      <c r="D996" s="25"/>
      <c r="E996" s="25"/>
      <c r="F996" s="25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25"/>
      <c r="D997" s="25"/>
      <c r="E997" s="25"/>
      <c r="F997" s="25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25"/>
      <c r="D998" s="25"/>
      <c r="E998" s="25"/>
      <c r="F998" s="25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25"/>
      <c r="D999" s="25"/>
      <c r="E999" s="25"/>
      <c r="F999" s="25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13"/>
      <c r="C1000" s="25"/>
      <c r="D1000" s="25"/>
      <c r="E1000" s="25"/>
      <c r="F1000" s="25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>
      <c r="A1001" s="13"/>
      <c r="B1001" s="13"/>
      <c r="C1001" s="25"/>
      <c r="D1001" s="25"/>
      <c r="E1001" s="25"/>
      <c r="F1001" s="25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7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6" t="s">
        <v>151</v>
      </c>
      <c r="C1" s="16" t="s">
        <v>152</v>
      </c>
      <c r="D1" s="16" t="s">
        <v>153</v>
      </c>
      <c r="E1" s="16" t="s">
        <v>154</v>
      </c>
    </row>
    <row r="2">
      <c r="A2" s="3" t="s">
        <v>155</v>
      </c>
      <c r="B2" s="2" t="s">
        <v>157</v>
      </c>
      <c r="C2" s="2" t="s">
        <v>158</v>
      </c>
      <c r="D2" s="2" t="s">
        <v>159</v>
      </c>
      <c r="E2" s="2" t="s">
        <v>160</v>
      </c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6" t="s">
        <v>6</v>
      </c>
      <c r="B3" s="27" t="s">
        <v>297</v>
      </c>
      <c r="C3" s="27" t="s">
        <v>297</v>
      </c>
      <c r="D3" s="27" t="s">
        <v>297</v>
      </c>
      <c r="E3" s="27" t="s">
        <v>297</v>
      </c>
    </row>
    <row r="4">
      <c r="A4" s="26" t="s">
        <v>104</v>
      </c>
      <c r="B4" s="28">
        <v>1.0</v>
      </c>
      <c r="C4" s="28">
        <v>0.8</v>
      </c>
      <c r="D4" s="28">
        <v>0.0</v>
      </c>
      <c r="E4" s="28">
        <v>2.8</v>
      </c>
    </row>
    <row r="5">
      <c r="A5" s="26" t="s">
        <v>89</v>
      </c>
      <c r="B5" s="28">
        <v>2.0</v>
      </c>
      <c r="C5" s="28">
        <v>1.0</v>
      </c>
      <c r="D5" s="28">
        <v>1.0</v>
      </c>
      <c r="E5" s="28">
        <v>0.0</v>
      </c>
    </row>
    <row r="6">
      <c r="A6" s="26" t="s">
        <v>34</v>
      </c>
      <c r="B6" s="28">
        <v>0.0</v>
      </c>
      <c r="C6" s="28">
        <v>1.0</v>
      </c>
      <c r="D6" s="28">
        <v>0.0</v>
      </c>
      <c r="E6" s="28">
        <v>0.0</v>
      </c>
    </row>
    <row r="7">
      <c r="A7" s="26" t="s">
        <v>69</v>
      </c>
      <c r="B7" s="28">
        <v>3.0</v>
      </c>
      <c r="C7" s="28">
        <v>3.0</v>
      </c>
      <c r="D7" s="28">
        <v>0.0</v>
      </c>
      <c r="E7" s="28">
        <v>0.0</v>
      </c>
    </row>
    <row r="8">
      <c r="A8" s="26" t="s">
        <v>26</v>
      </c>
      <c r="B8" s="28">
        <v>3.0</v>
      </c>
      <c r="C8" s="28">
        <v>0.0</v>
      </c>
      <c r="D8" s="28">
        <v>0.0</v>
      </c>
      <c r="E8" s="28">
        <v>0.0</v>
      </c>
    </row>
    <row r="9">
      <c r="A9" s="26" t="s">
        <v>27</v>
      </c>
      <c r="B9" s="28">
        <v>0.0</v>
      </c>
      <c r="C9" s="28">
        <v>2.0</v>
      </c>
      <c r="D9" s="28">
        <v>0.0</v>
      </c>
      <c r="E9" s="28">
        <v>0.0</v>
      </c>
    </row>
    <row r="10">
      <c r="A10" s="26" t="s">
        <v>35</v>
      </c>
      <c r="B10" s="28">
        <v>0.3333333333333333</v>
      </c>
      <c r="C10" s="28">
        <v>1.0</v>
      </c>
      <c r="D10" s="28">
        <v>0.0</v>
      </c>
      <c r="E10" s="28">
        <v>1.0</v>
      </c>
    </row>
    <row r="11">
      <c r="A11" s="26" t="s">
        <v>28</v>
      </c>
      <c r="B11" s="28">
        <v>1.0</v>
      </c>
      <c r="C11" s="28">
        <v>1.0</v>
      </c>
      <c r="D11" s="28">
        <v>0.0</v>
      </c>
      <c r="E11" s="28">
        <v>0.0</v>
      </c>
    </row>
    <row r="12">
      <c r="A12" s="26" t="s">
        <v>57</v>
      </c>
      <c r="B12" s="28">
        <v>1.875</v>
      </c>
      <c r="C12" s="28">
        <v>1.7142857142857142</v>
      </c>
      <c r="D12" s="28">
        <v>1.0</v>
      </c>
      <c r="E12" s="28">
        <v>2.142857142857143</v>
      </c>
    </row>
    <row r="13">
      <c r="A13" s="26" t="s">
        <v>124</v>
      </c>
      <c r="B13" s="28">
        <v>0.0</v>
      </c>
      <c r="C13" s="28">
        <v>1.0</v>
      </c>
      <c r="D13" s="28">
        <v>1.0</v>
      </c>
      <c r="E13" s="28">
        <v>1.0</v>
      </c>
    </row>
    <row r="14">
      <c r="A14" s="26" t="s">
        <v>90</v>
      </c>
      <c r="B14" s="28">
        <v>2.0</v>
      </c>
      <c r="C14" s="28">
        <v>1.0</v>
      </c>
      <c r="D14" s="28">
        <v>0.0</v>
      </c>
      <c r="E14" s="28">
        <v>0.0</v>
      </c>
    </row>
    <row r="15">
      <c r="A15" s="26" t="s">
        <v>36</v>
      </c>
      <c r="B15" s="28">
        <v>2.0</v>
      </c>
      <c r="C15" s="28">
        <v>1.0</v>
      </c>
      <c r="D15" s="28">
        <v>0.0</v>
      </c>
      <c r="E15" s="28">
        <v>1.0</v>
      </c>
    </row>
    <row r="16">
      <c r="A16" s="26" t="s">
        <v>125</v>
      </c>
      <c r="B16" s="28">
        <v>0.0</v>
      </c>
      <c r="C16" s="28">
        <v>1.0</v>
      </c>
      <c r="D16" s="28">
        <v>1.0</v>
      </c>
      <c r="E16" s="28">
        <v>2.0</v>
      </c>
    </row>
    <row r="17">
      <c r="A17" s="26" t="s">
        <v>58</v>
      </c>
      <c r="B17" s="28">
        <v>1.5</v>
      </c>
      <c r="C17" s="28">
        <v>1.0</v>
      </c>
      <c r="D17" s="28">
        <v>1.0</v>
      </c>
      <c r="E17" s="28">
        <v>1.0</v>
      </c>
    </row>
    <row r="18">
      <c r="A18" s="26" t="s">
        <v>126</v>
      </c>
      <c r="B18" s="28">
        <v>0.0</v>
      </c>
      <c r="C18" s="28">
        <v>0.0</v>
      </c>
      <c r="D18" s="28">
        <v>1.0</v>
      </c>
      <c r="E18" s="28">
        <v>1.0</v>
      </c>
    </row>
    <row r="19">
      <c r="A19" s="26" t="s">
        <v>105</v>
      </c>
      <c r="B19" s="28">
        <v>2.0</v>
      </c>
      <c r="C19" s="28">
        <v>1.0</v>
      </c>
      <c r="D19" s="28">
        <v>0.0</v>
      </c>
      <c r="E19" s="28">
        <v>2.0</v>
      </c>
    </row>
    <row r="20">
      <c r="A20" s="26" t="s">
        <v>116</v>
      </c>
      <c r="B20" s="28">
        <v>1.75</v>
      </c>
      <c r="C20" s="28">
        <v>2.0</v>
      </c>
      <c r="D20" s="28">
        <v>0.0</v>
      </c>
      <c r="E20" s="28">
        <v>1.25</v>
      </c>
    </row>
    <row r="21">
      <c r="A21" s="26" t="s">
        <v>37</v>
      </c>
      <c r="B21" s="28">
        <v>1.0</v>
      </c>
      <c r="C21" s="28">
        <v>0.3333333333333333</v>
      </c>
      <c r="D21" s="28">
        <v>0.0</v>
      </c>
      <c r="E21" s="28">
        <v>2.0</v>
      </c>
    </row>
    <row r="22">
      <c r="A22" s="26" t="s">
        <v>38</v>
      </c>
      <c r="B22" s="28">
        <v>1.8</v>
      </c>
      <c r="C22" s="28">
        <v>1.0</v>
      </c>
      <c r="D22" s="28">
        <v>1.8</v>
      </c>
      <c r="E22" s="28">
        <v>1.0</v>
      </c>
    </row>
    <row r="23">
      <c r="A23" s="26" t="s">
        <v>117</v>
      </c>
      <c r="B23" s="28">
        <v>2.3333333333333335</v>
      </c>
      <c r="C23" s="28">
        <v>2.0</v>
      </c>
      <c r="D23" s="28">
        <v>0.0</v>
      </c>
      <c r="E23" s="28">
        <v>1.0</v>
      </c>
    </row>
    <row r="24">
      <c r="A24" s="26" t="s">
        <v>9</v>
      </c>
      <c r="B24" s="28">
        <v>0.0</v>
      </c>
      <c r="C24" s="28">
        <v>0.6666666666666666</v>
      </c>
      <c r="D24" s="28">
        <v>0.0</v>
      </c>
      <c r="E24" s="28">
        <v>3.0</v>
      </c>
    </row>
    <row r="25">
      <c r="A25" s="26" t="s">
        <v>106</v>
      </c>
      <c r="B25" s="28">
        <v>1.2</v>
      </c>
      <c r="C25" s="28">
        <v>1.0</v>
      </c>
      <c r="D25" s="28">
        <v>0.4</v>
      </c>
      <c r="E25" s="28">
        <v>3.0</v>
      </c>
    </row>
    <row r="26">
      <c r="A26" s="26" t="s">
        <v>107</v>
      </c>
      <c r="B26" s="28">
        <v>2.0</v>
      </c>
      <c r="C26" s="28">
        <v>0.0</v>
      </c>
      <c r="D26" s="28">
        <v>0.0</v>
      </c>
      <c r="E26" s="28">
        <v>3.0</v>
      </c>
    </row>
    <row r="27">
      <c r="A27" s="26" t="s">
        <v>108</v>
      </c>
      <c r="B27" s="28">
        <v>0.5</v>
      </c>
      <c r="C27" s="28">
        <v>0.75</v>
      </c>
      <c r="D27" s="28">
        <v>0.0</v>
      </c>
      <c r="E27" s="28">
        <v>3.0</v>
      </c>
    </row>
    <row r="28">
      <c r="A28" s="26" t="s">
        <v>70</v>
      </c>
      <c r="B28" s="28">
        <v>0.2727272727272727</v>
      </c>
      <c r="C28" s="28">
        <v>2.272727272727273</v>
      </c>
      <c r="D28" s="28">
        <v>0.2727272727272727</v>
      </c>
      <c r="E28" s="28">
        <v>2.272727272727273</v>
      </c>
    </row>
    <row r="29">
      <c r="A29" s="26" t="s">
        <v>29</v>
      </c>
      <c r="B29" s="28">
        <v>2.0</v>
      </c>
      <c r="C29" s="28">
        <v>2.0</v>
      </c>
      <c r="D29" s="28">
        <v>0.0</v>
      </c>
      <c r="E29" s="28">
        <v>0.0</v>
      </c>
    </row>
    <row r="30">
      <c r="A30" s="26" t="s">
        <v>87</v>
      </c>
      <c r="B30" s="28">
        <v>0.5</v>
      </c>
      <c r="C30" s="28">
        <v>0.0</v>
      </c>
      <c r="D30" s="28">
        <v>0.0</v>
      </c>
      <c r="E30" s="28">
        <v>3.0</v>
      </c>
    </row>
    <row r="31">
      <c r="A31" s="26" t="s">
        <v>39</v>
      </c>
      <c r="B31" s="28">
        <v>0.0</v>
      </c>
      <c r="C31" s="28">
        <v>0.0</v>
      </c>
      <c r="D31" s="28">
        <v>2.0</v>
      </c>
      <c r="E31" s="28">
        <v>3.0</v>
      </c>
    </row>
    <row r="32">
      <c r="A32" s="26" t="s">
        <v>11</v>
      </c>
      <c r="B32" s="27" t="s">
        <v>297</v>
      </c>
      <c r="C32" s="27" t="s">
        <v>297</v>
      </c>
      <c r="D32" s="27" t="s">
        <v>297</v>
      </c>
      <c r="E32" s="27" t="s">
        <v>297</v>
      </c>
    </row>
    <row r="33">
      <c r="A33" s="26" t="s">
        <v>145</v>
      </c>
      <c r="B33" s="28">
        <v>0.0</v>
      </c>
      <c r="C33" s="28">
        <v>3.0</v>
      </c>
      <c r="D33" s="28">
        <v>0.0</v>
      </c>
      <c r="E33" s="28">
        <v>0.0</v>
      </c>
    </row>
    <row r="34">
      <c r="A34" s="26" t="s">
        <v>40</v>
      </c>
      <c r="B34" s="28">
        <v>3.0</v>
      </c>
      <c r="C34" s="28">
        <v>1.0</v>
      </c>
      <c r="D34" s="28">
        <v>1.0</v>
      </c>
      <c r="E34" s="28">
        <v>0.0</v>
      </c>
    </row>
    <row r="35">
      <c r="A35" s="26" t="s">
        <v>41</v>
      </c>
      <c r="B35" s="28">
        <v>0.0</v>
      </c>
      <c r="C35" s="28">
        <v>0.0</v>
      </c>
      <c r="D35" s="28">
        <v>1.0</v>
      </c>
      <c r="E35" s="28">
        <v>1.0</v>
      </c>
    </row>
    <row r="36">
      <c r="A36" s="26" t="s">
        <v>12</v>
      </c>
      <c r="B36" s="28">
        <v>0.0</v>
      </c>
      <c r="C36" s="28">
        <v>1.0</v>
      </c>
      <c r="D36" s="28">
        <v>0.0</v>
      </c>
      <c r="E36" s="28">
        <v>3.0</v>
      </c>
    </row>
    <row r="37">
      <c r="A37" s="26" t="s">
        <v>146</v>
      </c>
      <c r="B37" s="28">
        <v>0.0</v>
      </c>
      <c r="C37" s="28">
        <v>2.0</v>
      </c>
      <c r="D37" s="28">
        <v>0.0</v>
      </c>
      <c r="E37" s="28">
        <v>0.0</v>
      </c>
    </row>
    <row r="38">
      <c r="A38" s="26" t="s">
        <v>13</v>
      </c>
      <c r="B38" s="28">
        <v>0.5476190476190477</v>
      </c>
      <c r="C38" s="28">
        <v>1.0238095238095237</v>
      </c>
      <c r="D38" s="28">
        <v>0.0</v>
      </c>
      <c r="E38" s="28">
        <v>2.7857142857142856</v>
      </c>
    </row>
    <row r="39">
      <c r="A39" s="26" t="s">
        <v>127</v>
      </c>
      <c r="B39" s="28">
        <v>1.0</v>
      </c>
      <c r="C39" s="28">
        <v>1.0</v>
      </c>
      <c r="D39" s="28">
        <v>1.0</v>
      </c>
      <c r="E39" s="28">
        <v>1.0</v>
      </c>
    </row>
    <row r="40">
      <c r="A40" s="26" t="s">
        <v>14</v>
      </c>
      <c r="B40" s="28">
        <v>1.8181818181818181</v>
      </c>
      <c r="C40" s="28">
        <v>1.0</v>
      </c>
      <c r="D40" s="28">
        <v>0.0</v>
      </c>
      <c r="E40" s="28">
        <v>2.090909090909091</v>
      </c>
    </row>
    <row r="41">
      <c r="A41" s="26" t="s">
        <v>42</v>
      </c>
      <c r="B41" s="28">
        <v>1.0</v>
      </c>
      <c r="C41" s="28">
        <v>1.0</v>
      </c>
      <c r="D41" s="28">
        <v>0.0</v>
      </c>
      <c r="E41" s="28">
        <v>2.0</v>
      </c>
    </row>
    <row r="42">
      <c r="A42" s="26" t="s">
        <v>59</v>
      </c>
      <c r="B42" s="28">
        <v>2.0</v>
      </c>
      <c r="C42" s="28">
        <v>2.0</v>
      </c>
      <c r="D42" s="28">
        <v>1.0</v>
      </c>
      <c r="E42" s="28">
        <v>2.5</v>
      </c>
    </row>
    <row r="43">
      <c r="A43" s="26" t="s">
        <v>60</v>
      </c>
      <c r="B43" s="28">
        <v>1.0</v>
      </c>
      <c r="C43" s="28">
        <v>1.0</v>
      </c>
      <c r="D43" s="28">
        <v>1.0</v>
      </c>
      <c r="E43" s="28">
        <v>3.0</v>
      </c>
    </row>
    <row r="44">
      <c r="A44" s="26" t="s">
        <v>43</v>
      </c>
      <c r="B44" s="28">
        <v>0.0</v>
      </c>
      <c r="C44" s="28">
        <v>0.0</v>
      </c>
      <c r="D44" s="28">
        <v>0.0</v>
      </c>
      <c r="E44" s="28">
        <v>1.0</v>
      </c>
    </row>
    <row r="45">
      <c r="A45" s="26" t="s">
        <v>80</v>
      </c>
      <c r="B45" s="28">
        <v>1.0</v>
      </c>
      <c r="C45" s="28">
        <v>1.0</v>
      </c>
      <c r="D45" s="28">
        <v>0.6666666666666666</v>
      </c>
      <c r="E45" s="28">
        <v>0.0</v>
      </c>
    </row>
    <row r="46">
      <c r="A46" s="26" t="s">
        <v>91</v>
      </c>
      <c r="B46" s="28">
        <v>2.0</v>
      </c>
      <c r="C46" s="28">
        <v>1.0</v>
      </c>
      <c r="D46" s="28">
        <v>1.0</v>
      </c>
      <c r="E46" s="28">
        <v>0.0</v>
      </c>
    </row>
    <row r="47">
      <c r="A47" s="26" t="s">
        <v>30</v>
      </c>
      <c r="B47" s="28">
        <v>3.0</v>
      </c>
      <c r="C47" s="28">
        <v>1.5</v>
      </c>
      <c r="D47" s="28">
        <v>0.0</v>
      </c>
      <c r="E47" s="28">
        <v>0.0</v>
      </c>
    </row>
    <row r="48">
      <c r="A48" s="26" t="s">
        <v>71</v>
      </c>
      <c r="B48" s="28">
        <v>1.0</v>
      </c>
      <c r="C48" s="28">
        <v>2.0</v>
      </c>
      <c r="D48" s="28">
        <v>0.0</v>
      </c>
      <c r="E48" s="28">
        <v>3.0</v>
      </c>
    </row>
    <row r="49">
      <c r="A49" s="26" t="s">
        <v>81</v>
      </c>
      <c r="B49" s="28">
        <v>1.8333333333333333</v>
      </c>
      <c r="C49" s="28">
        <v>1.0</v>
      </c>
      <c r="D49" s="28">
        <v>0.8333333333333334</v>
      </c>
      <c r="E49" s="28">
        <v>0.0</v>
      </c>
    </row>
    <row r="50">
      <c r="A50" s="26" t="s">
        <v>128</v>
      </c>
      <c r="B50" s="28">
        <v>1.0</v>
      </c>
      <c r="C50" s="28">
        <v>1.75</v>
      </c>
      <c r="D50" s="28">
        <v>1.0</v>
      </c>
      <c r="E50" s="28">
        <v>1.0</v>
      </c>
    </row>
    <row r="51">
      <c r="A51" s="26" t="s">
        <v>129</v>
      </c>
      <c r="B51" s="28">
        <v>1.0</v>
      </c>
      <c r="C51" s="28">
        <v>1.0</v>
      </c>
      <c r="D51" s="28">
        <v>1.0</v>
      </c>
      <c r="E51" s="28">
        <v>2.0</v>
      </c>
    </row>
    <row r="52">
      <c r="A52" s="26" t="s">
        <v>109</v>
      </c>
      <c r="B52" s="28">
        <v>2.2</v>
      </c>
      <c r="C52" s="28">
        <v>0.6</v>
      </c>
      <c r="D52" s="28">
        <v>0.0</v>
      </c>
      <c r="E52" s="28">
        <v>3.0</v>
      </c>
    </row>
    <row r="53">
      <c r="A53" s="26" t="s">
        <v>15</v>
      </c>
      <c r="B53" s="28">
        <v>0.6666666666666666</v>
      </c>
      <c r="C53" s="28">
        <v>2.0</v>
      </c>
      <c r="D53" s="28">
        <v>0.0</v>
      </c>
      <c r="E53" s="28">
        <v>3.0</v>
      </c>
    </row>
    <row r="54">
      <c r="A54" s="26" t="s">
        <v>16</v>
      </c>
      <c r="B54" s="28">
        <v>1.0</v>
      </c>
      <c r="C54" s="28">
        <v>1.0</v>
      </c>
      <c r="D54" s="28">
        <v>0.0</v>
      </c>
      <c r="E54" s="28">
        <v>3.0</v>
      </c>
    </row>
    <row r="55">
      <c r="A55" s="26" t="s">
        <v>17</v>
      </c>
      <c r="B55" s="28">
        <v>1.0</v>
      </c>
      <c r="C55" s="28">
        <v>1.0</v>
      </c>
      <c r="D55" s="28">
        <v>0.0</v>
      </c>
      <c r="E55" s="28">
        <v>3.0</v>
      </c>
    </row>
    <row r="56">
      <c r="A56" s="26" t="s">
        <v>61</v>
      </c>
      <c r="B56" s="28">
        <v>2.8333333333333335</v>
      </c>
      <c r="C56" s="28">
        <v>1.1666666666666667</v>
      </c>
      <c r="D56" s="28">
        <v>1.0</v>
      </c>
      <c r="E56" s="28">
        <v>3.0</v>
      </c>
    </row>
    <row r="57">
      <c r="A57" s="26" t="s">
        <v>82</v>
      </c>
      <c r="B57" s="28">
        <v>2.3333333333333335</v>
      </c>
      <c r="C57" s="28">
        <v>1.0</v>
      </c>
      <c r="D57" s="28">
        <v>1.0</v>
      </c>
      <c r="E57" s="28">
        <v>0.0</v>
      </c>
    </row>
    <row r="58">
      <c r="A58" s="26" t="s">
        <v>18</v>
      </c>
      <c r="B58" s="28">
        <v>1.6666666666666667</v>
      </c>
      <c r="C58" s="28">
        <v>1.0</v>
      </c>
      <c r="D58" s="28">
        <v>0.0</v>
      </c>
      <c r="E58" s="28">
        <v>3.0</v>
      </c>
    </row>
    <row r="59">
      <c r="A59" s="26" t="s">
        <v>93</v>
      </c>
      <c r="B59" s="28">
        <v>2.6666666666666665</v>
      </c>
      <c r="C59" s="28">
        <v>1.1666666666666667</v>
      </c>
      <c r="D59" s="28">
        <v>0.5</v>
      </c>
      <c r="E59" s="28">
        <v>0.0</v>
      </c>
    </row>
    <row r="60">
      <c r="A60" s="26" t="s">
        <v>19</v>
      </c>
      <c r="B60" s="28">
        <v>0.0</v>
      </c>
      <c r="C60" s="28">
        <v>1.0</v>
      </c>
      <c r="D60" s="28">
        <v>0.0</v>
      </c>
      <c r="E60" s="28">
        <v>3.0</v>
      </c>
    </row>
    <row r="61">
      <c r="A61" s="26" t="s">
        <v>72</v>
      </c>
      <c r="B61" s="28">
        <v>1.0</v>
      </c>
      <c r="C61" s="28">
        <v>3.0</v>
      </c>
      <c r="D61" s="28">
        <v>0.0</v>
      </c>
      <c r="E61" s="28">
        <v>1.0</v>
      </c>
    </row>
    <row r="62">
      <c r="A62" s="26" t="s">
        <v>20</v>
      </c>
      <c r="B62" s="28">
        <v>0.1875</v>
      </c>
      <c r="C62" s="28">
        <v>1.0</v>
      </c>
      <c r="D62" s="28">
        <v>0.0</v>
      </c>
      <c r="E62" s="28">
        <v>3.0</v>
      </c>
    </row>
    <row r="63">
      <c r="A63" s="26" t="s">
        <v>130</v>
      </c>
      <c r="B63" s="28">
        <v>3.0</v>
      </c>
      <c r="C63" s="28">
        <v>1.3333333333333333</v>
      </c>
      <c r="D63" s="28">
        <v>1.0</v>
      </c>
      <c r="E63" s="28">
        <v>3.0</v>
      </c>
    </row>
    <row r="64">
      <c r="A64" s="26" t="s">
        <v>131</v>
      </c>
      <c r="B64" s="28">
        <v>1.0</v>
      </c>
      <c r="C64" s="28">
        <v>1.0</v>
      </c>
      <c r="D64" s="28">
        <v>1.7142857142857142</v>
      </c>
      <c r="E64" s="28">
        <v>1.0</v>
      </c>
    </row>
    <row r="65">
      <c r="A65" s="26" t="s">
        <v>21</v>
      </c>
      <c r="B65" s="28">
        <v>0.0</v>
      </c>
      <c r="C65" s="28">
        <v>1.0</v>
      </c>
      <c r="D65" s="28">
        <v>0.0</v>
      </c>
      <c r="E65" s="28">
        <v>3.0</v>
      </c>
    </row>
    <row r="66">
      <c r="A66" s="26" t="s">
        <v>132</v>
      </c>
      <c r="B66" s="28">
        <v>1.0</v>
      </c>
      <c r="C66" s="28">
        <v>1.0</v>
      </c>
      <c r="D66" s="28">
        <v>1.0</v>
      </c>
      <c r="E66" s="28">
        <v>1.3333333333333333</v>
      </c>
    </row>
    <row r="67">
      <c r="A67" s="26" t="s">
        <v>133</v>
      </c>
      <c r="B67" s="28">
        <v>1.2222222222222223</v>
      </c>
      <c r="C67" s="28">
        <v>1.0</v>
      </c>
      <c r="D67" s="28">
        <v>1.0</v>
      </c>
      <c r="E67" s="28">
        <v>2.3333333333333335</v>
      </c>
    </row>
    <row r="68">
      <c r="A68" s="26" t="s">
        <v>62</v>
      </c>
      <c r="B68" s="28">
        <v>1.5</v>
      </c>
      <c r="C68" s="28">
        <v>1.0</v>
      </c>
      <c r="D68" s="28">
        <v>1.0</v>
      </c>
      <c r="E68" s="28">
        <v>1.8333333333333333</v>
      </c>
    </row>
    <row r="69">
      <c r="A69" s="26" t="s">
        <v>110</v>
      </c>
      <c r="B69" s="28">
        <v>0.3333333333333333</v>
      </c>
      <c r="C69" s="28">
        <v>1.0</v>
      </c>
      <c r="D69" s="28">
        <v>0.0</v>
      </c>
      <c r="E69" s="28">
        <v>3.0</v>
      </c>
    </row>
    <row r="70">
      <c r="A70" s="26" t="s">
        <v>118</v>
      </c>
      <c r="B70" s="28">
        <v>1.6666666666666667</v>
      </c>
      <c r="C70" s="28">
        <v>1.6666666666666667</v>
      </c>
      <c r="D70" s="28">
        <v>0.0</v>
      </c>
      <c r="E70" s="28">
        <v>1.0</v>
      </c>
    </row>
    <row r="71">
      <c r="A71" s="26" t="s">
        <v>111</v>
      </c>
      <c r="B71" s="28">
        <v>0.5714285714285714</v>
      </c>
      <c r="C71" s="28">
        <v>0.7142857142857143</v>
      </c>
      <c r="D71" s="28">
        <v>0.0</v>
      </c>
      <c r="E71" s="28">
        <v>3.0</v>
      </c>
    </row>
    <row r="72">
      <c r="A72" s="26" t="s">
        <v>134</v>
      </c>
      <c r="B72" s="28">
        <v>0.5238095238095238</v>
      </c>
      <c r="C72" s="28">
        <v>1.4761904761904763</v>
      </c>
      <c r="D72" s="28">
        <v>0.0</v>
      </c>
      <c r="E72" s="28">
        <v>2.380952380952381</v>
      </c>
    </row>
    <row r="73">
      <c r="A73" s="26" t="s">
        <v>44</v>
      </c>
      <c r="B73" s="28">
        <v>0.75</v>
      </c>
      <c r="C73" s="28">
        <v>1.0</v>
      </c>
      <c r="D73" s="28">
        <v>0.5</v>
      </c>
      <c r="E73" s="28">
        <v>1.0</v>
      </c>
    </row>
    <row r="74">
      <c r="A74" s="26" t="s">
        <v>94</v>
      </c>
      <c r="B74" s="28">
        <v>2.0</v>
      </c>
      <c r="C74" s="28">
        <v>1.25</v>
      </c>
      <c r="D74" s="28">
        <v>0.0</v>
      </c>
      <c r="E74" s="28">
        <v>0.0</v>
      </c>
    </row>
    <row r="75">
      <c r="A75" s="26" t="s">
        <v>73</v>
      </c>
      <c r="B75" s="28">
        <v>0.0</v>
      </c>
      <c r="C75" s="28">
        <v>2.0</v>
      </c>
      <c r="D75" s="28">
        <v>0.0</v>
      </c>
      <c r="E75" s="28">
        <v>1.0</v>
      </c>
    </row>
    <row r="76">
      <c r="A76" s="26" t="s">
        <v>135</v>
      </c>
      <c r="B76" s="28">
        <v>0.0</v>
      </c>
      <c r="C76" s="28">
        <v>0.0</v>
      </c>
      <c r="D76" s="28">
        <v>1.0</v>
      </c>
      <c r="E76" s="28">
        <v>1.0</v>
      </c>
    </row>
    <row r="77">
      <c r="A77" s="26" t="s">
        <v>74</v>
      </c>
      <c r="B77" s="28">
        <v>0.5</v>
      </c>
      <c r="C77" s="28">
        <v>3.0</v>
      </c>
      <c r="D77" s="28">
        <v>0.0</v>
      </c>
      <c r="E77" s="28">
        <v>2.5</v>
      </c>
    </row>
    <row r="78">
      <c r="A78" s="26" t="s">
        <v>119</v>
      </c>
      <c r="B78" s="28">
        <v>2.25</v>
      </c>
      <c r="C78" s="28">
        <v>2.0</v>
      </c>
      <c r="D78" s="28">
        <v>0.0</v>
      </c>
      <c r="E78" s="28">
        <v>1.25</v>
      </c>
    </row>
    <row r="79">
      <c r="A79" s="26" t="s">
        <v>75</v>
      </c>
      <c r="B79" s="28">
        <v>1.0</v>
      </c>
      <c r="C79" s="28">
        <v>3.0</v>
      </c>
      <c r="D79" s="28">
        <v>0.0</v>
      </c>
      <c r="E79" s="28">
        <v>2.0</v>
      </c>
    </row>
    <row r="80">
      <c r="A80" s="26" t="s">
        <v>95</v>
      </c>
      <c r="B80" s="28">
        <v>2.0</v>
      </c>
      <c r="C80" s="28">
        <v>1.0</v>
      </c>
      <c r="D80" s="28">
        <v>0.0</v>
      </c>
      <c r="E80" s="28">
        <v>0.0</v>
      </c>
    </row>
    <row r="81">
      <c r="A81" s="26" t="s">
        <v>22</v>
      </c>
      <c r="B81" s="28">
        <v>0.0</v>
      </c>
      <c r="C81" s="28">
        <v>1.0</v>
      </c>
      <c r="D81" s="28">
        <v>0.0</v>
      </c>
      <c r="E81" s="28">
        <v>3.0</v>
      </c>
    </row>
    <row r="82">
      <c r="A82" s="26" t="s">
        <v>76</v>
      </c>
      <c r="B82" s="28">
        <v>0.0</v>
      </c>
      <c r="C82" s="28">
        <v>2.0</v>
      </c>
      <c r="D82" s="28">
        <v>0.0</v>
      </c>
      <c r="E82" s="28">
        <v>3.0</v>
      </c>
    </row>
    <row r="83">
      <c r="A83" s="26" t="s">
        <v>136</v>
      </c>
      <c r="B83" s="28">
        <v>3.0</v>
      </c>
      <c r="C83" s="28">
        <v>1.0</v>
      </c>
      <c r="D83" s="28">
        <v>1.0</v>
      </c>
      <c r="E83" s="28">
        <v>2.0</v>
      </c>
    </row>
    <row r="84">
      <c r="A84" s="26" t="s">
        <v>113</v>
      </c>
      <c r="B84" s="27" t="s">
        <v>297</v>
      </c>
      <c r="C84" s="27" t="s">
        <v>297</v>
      </c>
      <c r="D84" s="27" t="s">
        <v>297</v>
      </c>
      <c r="E84" s="27" t="s">
        <v>297</v>
      </c>
    </row>
    <row r="85">
      <c r="A85" s="26" t="s">
        <v>63</v>
      </c>
      <c r="B85" s="28">
        <v>3.0</v>
      </c>
      <c r="C85" s="28">
        <v>1.0</v>
      </c>
      <c r="D85" s="28">
        <v>1.0</v>
      </c>
      <c r="E85" s="28">
        <v>2.0</v>
      </c>
    </row>
    <row r="86">
      <c r="A86" s="26" t="s">
        <v>31</v>
      </c>
      <c r="B86" s="27" t="s">
        <v>297</v>
      </c>
      <c r="C86" s="27" t="s">
        <v>297</v>
      </c>
      <c r="D86" s="27" t="s">
        <v>297</v>
      </c>
      <c r="E86" s="27" t="s">
        <v>297</v>
      </c>
    </row>
    <row r="87">
      <c r="A87" s="26" t="s">
        <v>32</v>
      </c>
      <c r="B87" s="28">
        <v>3.0</v>
      </c>
      <c r="C87" s="28">
        <v>3.0</v>
      </c>
      <c r="D87" s="28">
        <v>0.0</v>
      </c>
      <c r="E87" s="28">
        <v>0.0</v>
      </c>
    </row>
    <row r="88">
      <c r="A88" s="26" t="s">
        <v>120</v>
      </c>
      <c r="B88" s="28">
        <v>1.0</v>
      </c>
      <c r="C88" s="28">
        <v>2.0</v>
      </c>
      <c r="D88" s="28">
        <v>0.0</v>
      </c>
      <c r="E88" s="28">
        <v>1.0</v>
      </c>
    </row>
    <row r="89">
      <c r="A89" s="26" t="s">
        <v>121</v>
      </c>
      <c r="B89" s="28">
        <v>1.3333333333333333</v>
      </c>
      <c r="C89" s="28">
        <v>1.8888888888888888</v>
      </c>
      <c r="D89" s="28">
        <v>0.1111111111111111</v>
      </c>
      <c r="E89" s="28">
        <v>1.2222222222222223</v>
      </c>
    </row>
    <row r="90">
      <c r="A90" s="26" t="s">
        <v>137</v>
      </c>
      <c r="B90" s="28">
        <v>1.0</v>
      </c>
      <c r="C90" s="28">
        <v>1.3333333333333333</v>
      </c>
      <c r="D90" s="28">
        <v>1.0</v>
      </c>
      <c r="E90" s="28">
        <v>1.0</v>
      </c>
    </row>
    <row r="91">
      <c r="A91" s="26" t="s">
        <v>138</v>
      </c>
      <c r="B91" s="28">
        <v>0.6666666666666666</v>
      </c>
      <c r="C91" s="28">
        <v>2.1666666666666665</v>
      </c>
      <c r="D91" s="28">
        <v>1.0</v>
      </c>
      <c r="E91" s="28">
        <v>2.2</v>
      </c>
    </row>
    <row r="92">
      <c r="A92" s="26" t="s">
        <v>96</v>
      </c>
      <c r="B92" s="28">
        <v>2.0</v>
      </c>
      <c r="C92" s="28">
        <v>1.0</v>
      </c>
      <c r="D92" s="28">
        <v>0.0</v>
      </c>
      <c r="E92" s="28">
        <v>0.0</v>
      </c>
    </row>
    <row r="93">
      <c r="A93" s="26" t="s">
        <v>83</v>
      </c>
      <c r="B93" s="28">
        <v>3.0</v>
      </c>
      <c r="C93" s="28">
        <v>2.0</v>
      </c>
      <c r="D93" s="28">
        <v>0.0</v>
      </c>
      <c r="E93" s="28">
        <v>0.0</v>
      </c>
    </row>
    <row r="94">
      <c r="A94" s="26" t="s">
        <v>147</v>
      </c>
      <c r="B94" s="28">
        <v>0.5</v>
      </c>
      <c r="C94" s="28">
        <v>2.0</v>
      </c>
      <c r="D94" s="28">
        <v>0.0</v>
      </c>
      <c r="E94" s="28">
        <v>0.0</v>
      </c>
    </row>
    <row r="95">
      <c r="A95" s="26" t="s">
        <v>97</v>
      </c>
      <c r="B95" s="28">
        <v>2.0</v>
      </c>
      <c r="C95" s="28">
        <v>1.1428571428571428</v>
      </c>
      <c r="D95" s="28">
        <v>0.0</v>
      </c>
      <c r="E95" s="28">
        <v>0.0</v>
      </c>
    </row>
    <row r="96">
      <c r="A96" s="26" t="s">
        <v>112</v>
      </c>
      <c r="B96" s="28">
        <v>1.0</v>
      </c>
      <c r="C96" s="28">
        <v>1.0</v>
      </c>
      <c r="D96" s="28">
        <v>0.0</v>
      </c>
      <c r="E96" s="28">
        <v>3.0</v>
      </c>
    </row>
    <row r="97">
      <c r="A97" s="26" t="s">
        <v>77</v>
      </c>
      <c r="B97" s="28">
        <v>0.0</v>
      </c>
      <c r="C97" s="28">
        <v>2.0</v>
      </c>
      <c r="D97" s="28">
        <v>0.0</v>
      </c>
      <c r="E97" s="28">
        <v>2.0</v>
      </c>
    </row>
    <row r="98">
      <c r="A98" s="26" t="s">
        <v>139</v>
      </c>
      <c r="B98" s="28">
        <v>1.8</v>
      </c>
      <c r="C98" s="28">
        <v>1.0</v>
      </c>
      <c r="D98" s="28">
        <v>1.0</v>
      </c>
      <c r="E98" s="28">
        <v>1.8</v>
      </c>
    </row>
    <row r="99">
      <c r="A99" s="26" t="s">
        <v>64</v>
      </c>
      <c r="B99" s="28">
        <v>1.0</v>
      </c>
      <c r="C99" s="28">
        <v>3.0</v>
      </c>
      <c r="D99" s="28">
        <v>1.0</v>
      </c>
      <c r="E99" s="28">
        <v>3.0</v>
      </c>
    </row>
    <row r="100">
      <c r="A100" s="26" t="s">
        <v>65</v>
      </c>
      <c r="B100" s="28">
        <v>2.0</v>
      </c>
      <c r="C100" s="28">
        <v>1.0</v>
      </c>
      <c r="D100" s="28">
        <v>1.0</v>
      </c>
      <c r="E100" s="28">
        <v>3.0</v>
      </c>
    </row>
    <row r="101">
      <c r="A101" s="26" t="s">
        <v>66</v>
      </c>
      <c r="B101" s="28">
        <v>1.0</v>
      </c>
      <c r="C101" s="28">
        <v>1.0</v>
      </c>
      <c r="D101" s="28">
        <v>1.0</v>
      </c>
      <c r="E101" s="28">
        <v>1.0</v>
      </c>
    </row>
    <row r="102">
      <c r="A102" s="26" t="s">
        <v>23</v>
      </c>
      <c r="B102" s="28">
        <v>2.0</v>
      </c>
      <c r="C102" s="28">
        <v>1.0</v>
      </c>
      <c r="D102" s="28">
        <v>0.0</v>
      </c>
      <c r="E102" s="28">
        <v>3.0</v>
      </c>
    </row>
    <row r="103">
      <c r="A103" s="26" t="s">
        <v>45</v>
      </c>
      <c r="B103" s="28">
        <v>3.0</v>
      </c>
      <c r="C103" s="28">
        <v>1.0</v>
      </c>
      <c r="D103" s="28">
        <v>0.0</v>
      </c>
      <c r="E103" s="28">
        <v>1.0</v>
      </c>
    </row>
    <row r="104">
      <c r="A104" s="26" t="s">
        <v>140</v>
      </c>
      <c r="B104" s="28">
        <v>1.2</v>
      </c>
      <c r="C104" s="28">
        <v>1.0</v>
      </c>
      <c r="D104" s="28">
        <v>1.0</v>
      </c>
      <c r="E104" s="28">
        <v>1.0</v>
      </c>
    </row>
    <row r="105">
      <c r="A105" s="26" t="s">
        <v>46</v>
      </c>
      <c r="B105" s="28">
        <v>2.0</v>
      </c>
      <c r="C105" s="28">
        <v>1.0</v>
      </c>
      <c r="D105" s="28">
        <v>0.0</v>
      </c>
      <c r="E105" s="28">
        <v>1.0</v>
      </c>
    </row>
    <row r="106">
      <c r="A106" s="26" t="s">
        <v>47</v>
      </c>
      <c r="B106" s="28">
        <v>0.0</v>
      </c>
      <c r="C106" s="28">
        <v>0.0</v>
      </c>
      <c r="D106" s="28">
        <v>0.0</v>
      </c>
      <c r="E106" s="28">
        <v>0.0</v>
      </c>
    </row>
    <row r="107">
      <c r="A107" s="26" t="s">
        <v>141</v>
      </c>
      <c r="B107" s="28">
        <v>2.75</v>
      </c>
      <c r="C107" s="28">
        <v>1.5</v>
      </c>
      <c r="D107" s="28">
        <v>1.0</v>
      </c>
      <c r="E107" s="28">
        <v>2.0</v>
      </c>
    </row>
    <row r="108">
      <c r="A108" s="26" t="s">
        <v>48</v>
      </c>
      <c r="B108" s="28">
        <v>0.0</v>
      </c>
      <c r="C108" s="28">
        <v>1.0</v>
      </c>
      <c r="D108" s="28">
        <v>0.0</v>
      </c>
      <c r="E108" s="28">
        <v>0.0</v>
      </c>
    </row>
    <row r="109">
      <c r="A109" s="26" t="s">
        <v>49</v>
      </c>
      <c r="B109" s="28">
        <v>0.0</v>
      </c>
      <c r="C109" s="28">
        <v>1.0</v>
      </c>
      <c r="D109" s="28">
        <v>1.0</v>
      </c>
      <c r="E109" s="28">
        <v>1.0</v>
      </c>
    </row>
    <row r="110">
      <c r="A110" s="26" t="s">
        <v>24</v>
      </c>
      <c r="B110" s="28">
        <v>1.0</v>
      </c>
      <c r="C110" s="28">
        <v>1.0</v>
      </c>
      <c r="D110" s="28">
        <v>0.0</v>
      </c>
      <c r="E110" s="28">
        <v>3.0</v>
      </c>
    </row>
    <row r="111">
      <c r="A111" s="26" t="s">
        <v>142</v>
      </c>
      <c r="B111" s="28">
        <v>2.0</v>
      </c>
      <c r="C111" s="28">
        <v>1.0</v>
      </c>
      <c r="D111" s="28">
        <v>1.0</v>
      </c>
      <c r="E111" s="28">
        <v>1.0</v>
      </c>
    </row>
    <row r="112">
      <c r="A112" s="26" t="s">
        <v>85</v>
      </c>
      <c r="B112" s="28">
        <v>0.0</v>
      </c>
      <c r="C112" s="28">
        <v>2.0</v>
      </c>
      <c r="D112" s="28">
        <v>0.0</v>
      </c>
      <c r="E112" s="28">
        <v>1.0</v>
      </c>
    </row>
    <row r="113">
      <c r="A113" s="26" t="s">
        <v>50</v>
      </c>
      <c r="B113" s="28">
        <v>2.0</v>
      </c>
      <c r="C113" s="28">
        <v>1.5</v>
      </c>
      <c r="D113" s="28">
        <v>3.0</v>
      </c>
      <c r="E113" s="28">
        <v>1.0</v>
      </c>
    </row>
    <row r="114">
      <c r="A114" s="26" t="s">
        <v>67</v>
      </c>
      <c r="B114" s="28">
        <v>1.0</v>
      </c>
      <c r="C114" s="28">
        <v>2.0</v>
      </c>
      <c r="D114" s="28">
        <v>1.0</v>
      </c>
      <c r="E114" s="28">
        <v>3.0</v>
      </c>
    </row>
    <row r="115">
      <c r="A115" s="26" t="s">
        <v>98</v>
      </c>
      <c r="B115" s="28">
        <v>2.0</v>
      </c>
      <c r="C115" s="28">
        <v>1.0</v>
      </c>
      <c r="D115" s="28">
        <v>1.0</v>
      </c>
      <c r="E115" s="28">
        <v>0.0</v>
      </c>
    </row>
    <row r="116">
      <c r="A116" s="26" t="s">
        <v>51</v>
      </c>
      <c r="B116" s="28">
        <v>1.0</v>
      </c>
      <c r="C116" s="28">
        <v>1.0</v>
      </c>
      <c r="D116" s="28">
        <v>1.0</v>
      </c>
      <c r="E116" s="28">
        <v>3.0</v>
      </c>
    </row>
    <row r="117">
      <c r="A117" s="26" t="s">
        <v>52</v>
      </c>
      <c r="B117" s="28">
        <v>0.0</v>
      </c>
      <c r="C117" s="28">
        <v>1.0</v>
      </c>
      <c r="D117" s="28">
        <v>1.0</v>
      </c>
      <c r="E117" s="28">
        <v>3.0</v>
      </c>
    </row>
    <row r="118">
      <c r="A118" s="26" t="s">
        <v>53</v>
      </c>
      <c r="B118" s="28">
        <v>0.0</v>
      </c>
      <c r="C118" s="28">
        <v>1.0</v>
      </c>
      <c r="D118" s="28">
        <v>0.0</v>
      </c>
      <c r="E118" s="28">
        <v>3.0</v>
      </c>
    </row>
    <row r="119">
      <c r="A119" s="26" t="s">
        <v>122</v>
      </c>
      <c r="B119" s="28">
        <v>2.0</v>
      </c>
      <c r="C119" s="28">
        <v>2.0</v>
      </c>
      <c r="D119" s="28">
        <v>0.0</v>
      </c>
      <c r="E119" s="28">
        <v>1.0</v>
      </c>
    </row>
    <row r="120">
      <c r="A120" s="26" t="s">
        <v>54</v>
      </c>
      <c r="B120" s="28">
        <v>2.0</v>
      </c>
      <c r="C120" s="28">
        <v>1.0</v>
      </c>
      <c r="D120" s="28">
        <v>0.0</v>
      </c>
      <c r="E120" s="28">
        <v>1.0</v>
      </c>
    </row>
    <row r="121">
      <c r="A121" s="26" t="s">
        <v>99</v>
      </c>
      <c r="B121" s="28">
        <v>3.0</v>
      </c>
      <c r="C121" s="28">
        <v>1.0</v>
      </c>
      <c r="D121" s="28">
        <v>0.0</v>
      </c>
      <c r="E121" s="28">
        <v>0.0</v>
      </c>
    </row>
    <row r="122">
      <c r="A122" s="26" t="s">
        <v>55</v>
      </c>
      <c r="B122" s="28">
        <v>0.0</v>
      </c>
      <c r="C122" s="28">
        <v>1.0</v>
      </c>
      <c r="D122" s="28">
        <v>0.0</v>
      </c>
      <c r="E122" s="28">
        <v>1.0</v>
      </c>
    </row>
    <row r="123">
      <c r="A123" s="26" t="s">
        <v>143</v>
      </c>
      <c r="B123" s="28">
        <v>0.0</v>
      </c>
      <c r="C123" s="28">
        <v>0.0</v>
      </c>
      <c r="D123" s="28">
        <v>1.0</v>
      </c>
      <c r="E123" s="28">
        <v>2.0</v>
      </c>
    </row>
    <row r="124">
      <c r="A124" s="26" t="s">
        <v>100</v>
      </c>
      <c r="B124" s="28">
        <v>3.0</v>
      </c>
      <c r="C124" s="28">
        <v>1.0</v>
      </c>
      <c r="D124" s="28">
        <v>2.0</v>
      </c>
      <c r="E124" s="28">
        <v>0.0</v>
      </c>
    </row>
    <row r="125">
      <c r="A125" s="26" t="s">
        <v>101</v>
      </c>
      <c r="B125" s="28">
        <v>2.0</v>
      </c>
      <c r="C125" s="28">
        <v>1.0</v>
      </c>
      <c r="D125" s="28">
        <v>0.0</v>
      </c>
      <c r="E125" s="28">
        <v>0.0</v>
      </c>
    </row>
    <row r="126">
      <c r="A126" s="26" t="s">
        <v>78</v>
      </c>
      <c r="B126" s="28">
        <v>0.75</v>
      </c>
      <c r="C126" s="28">
        <v>2.25</v>
      </c>
      <c r="D126" s="28">
        <v>0.5</v>
      </c>
      <c r="E126" s="28">
        <v>1.0</v>
      </c>
    </row>
    <row r="127">
      <c r="A127" s="26" t="s">
        <v>102</v>
      </c>
      <c r="B127" s="28">
        <v>2.0</v>
      </c>
      <c r="C127" s="28">
        <v>1.0</v>
      </c>
      <c r="D127" s="28">
        <v>0.0</v>
      </c>
      <c r="E127" s="28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63"/>
  </cols>
  <sheetData>
    <row r="1">
      <c r="B1" s="16" t="s">
        <v>151</v>
      </c>
      <c r="C1" s="16" t="s">
        <v>152</v>
      </c>
      <c r="D1" s="16" t="s">
        <v>154</v>
      </c>
    </row>
    <row r="2">
      <c r="A2" s="3" t="s">
        <v>155</v>
      </c>
      <c r="B2" s="2" t="s">
        <v>157</v>
      </c>
      <c r="C2" s="2" t="s">
        <v>158</v>
      </c>
      <c r="D2" s="2" t="s">
        <v>160</v>
      </c>
      <c r="E2" s="2" t="s">
        <v>578</v>
      </c>
      <c r="F2" s="1" t="s">
        <v>3</v>
      </c>
    </row>
    <row r="3">
      <c r="A3" s="26" t="s">
        <v>6</v>
      </c>
      <c r="B3" s="27" t="s">
        <v>297</v>
      </c>
      <c r="C3" s="27" t="s">
        <v>297</v>
      </c>
      <c r="D3" s="27" t="s">
        <v>297</v>
      </c>
      <c r="E3" s="14" t="s">
        <v>297</v>
      </c>
      <c r="F3" s="26">
        <f>VLOOKUP(A3, pollution_tolerance!$B$2:$S$126, 3, FALSE)</f>
        <v>4</v>
      </c>
    </row>
    <row r="4">
      <c r="A4" s="26" t="s">
        <v>104</v>
      </c>
      <c r="B4" s="28">
        <v>1.0</v>
      </c>
      <c r="C4" s="28">
        <v>0.8</v>
      </c>
      <c r="D4" s="28">
        <v>2.8</v>
      </c>
      <c r="E4" s="14" t="s">
        <v>160</v>
      </c>
      <c r="F4" s="26">
        <f>VLOOKUP(A4, pollution_tolerance!$B$2:$S$126, 3, FALSE)</f>
        <v>8</v>
      </c>
    </row>
    <row r="5">
      <c r="A5" s="26" t="s">
        <v>89</v>
      </c>
      <c r="B5" s="28">
        <v>2.0</v>
      </c>
      <c r="C5" s="28">
        <v>1.0</v>
      </c>
      <c r="D5" s="28">
        <v>0.0</v>
      </c>
      <c r="E5" s="14" t="s">
        <v>157</v>
      </c>
      <c r="F5" s="26">
        <f>VLOOKUP(A5, pollution_tolerance!$B$2:$S$126, 3, FALSE)</f>
        <v>6</v>
      </c>
    </row>
    <row r="6">
      <c r="A6" s="26" t="s">
        <v>34</v>
      </c>
      <c r="B6" s="28">
        <v>0.0</v>
      </c>
      <c r="C6" s="28">
        <v>1.0</v>
      </c>
      <c r="D6" s="28">
        <v>0.0</v>
      </c>
      <c r="E6" s="14" t="s">
        <v>158</v>
      </c>
      <c r="F6" s="26">
        <f>VLOOKUP(A6, pollution_tolerance!$B$2:$S$126, 3, FALSE)</f>
        <v>4</v>
      </c>
    </row>
    <row r="7">
      <c r="A7" s="26" t="s">
        <v>69</v>
      </c>
      <c r="B7" s="28">
        <v>3.0</v>
      </c>
      <c r="C7" s="28">
        <v>3.0</v>
      </c>
      <c r="D7" s="28">
        <v>0.0</v>
      </c>
      <c r="E7" s="14" t="s">
        <v>157</v>
      </c>
      <c r="F7" s="26">
        <f>VLOOKUP(A7, pollution_tolerance!$B$2:$S$126, 3, FALSE)</f>
        <v>10</v>
      </c>
    </row>
    <row r="8">
      <c r="A8" s="29" t="s">
        <v>69</v>
      </c>
      <c r="B8" s="30">
        <v>3.0</v>
      </c>
      <c r="C8" s="30">
        <v>3.0</v>
      </c>
      <c r="D8" s="30">
        <v>0.0</v>
      </c>
      <c r="E8" s="31" t="s">
        <v>158</v>
      </c>
      <c r="F8" s="26">
        <f>VLOOKUP(A8, pollution_tolerance!$B$2:$S$126, 3, FALSE)</f>
        <v>10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>
      <c r="A9" s="26" t="s">
        <v>26</v>
      </c>
      <c r="B9" s="28">
        <v>3.0</v>
      </c>
      <c r="C9" s="28">
        <v>0.0</v>
      </c>
      <c r="D9" s="28">
        <v>0.0</v>
      </c>
      <c r="E9" s="14" t="s">
        <v>157</v>
      </c>
      <c r="F9" s="26">
        <f>VLOOKUP(A9, pollution_tolerance!$B$2:$S$126, 3, FALSE)</f>
        <v>3</v>
      </c>
    </row>
    <row r="10">
      <c r="A10" s="26" t="s">
        <v>27</v>
      </c>
      <c r="B10" s="28">
        <v>0.0</v>
      </c>
      <c r="C10" s="28">
        <v>2.0</v>
      </c>
      <c r="D10" s="28">
        <v>0.0</v>
      </c>
      <c r="E10" s="14" t="s">
        <v>158</v>
      </c>
      <c r="F10" s="26">
        <f>VLOOKUP(A10, pollution_tolerance!$B$2:$S$126, 3, FALSE)</f>
        <v>8</v>
      </c>
    </row>
    <row r="11">
      <c r="A11" s="26" t="s">
        <v>35</v>
      </c>
      <c r="B11" s="28">
        <v>0.3333333333333333</v>
      </c>
      <c r="C11" s="28">
        <v>1.0</v>
      </c>
      <c r="D11" s="28">
        <v>1.0</v>
      </c>
      <c r="E11" s="14" t="s">
        <v>158</v>
      </c>
      <c r="F11" s="26">
        <f>VLOOKUP(A11, pollution_tolerance!$B$2:$S$126, 3, FALSE)</f>
        <v>10</v>
      </c>
    </row>
    <row r="12">
      <c r="A12" s="26" t="s">
        <v>35</v>
      </c>
      <c r="B12" s="28">
        <v>0.3333333333333333</v>
      </c>
      <c r="C12" s="28">
        <v>1.0</v>
      </c>
      <c r="D12" s="28">
        <v>1.0</v>
      </c>
      <c r="E12" s="14" t="s">
        <v>160</v>
      </c>
      <c r="F12" s="26">
        <f>VLOOKUP(A12, pollution_tolerance!$B$2:$S$126, 3, FALSE)</f>
        <v>10</v>
      </c>
    </row>
    <row r="13">
      <c r="A13" s="26" t="s">
        <v>28</v>
      </c>
      <c r="B13" s="28">
        <v>1.0</v>
      </c>
      <c r="C13" s="28">
        <v>1.0</v>
      </c>
      <c r="D13" s="28">
        <v>0.0</v>
      </c>
      <c r="E13" s="14" t="s">
        <v>157</v>
      </c>
      <c r="F13" s="26">
        <f>VLOOKUP(A13, pollution_tolerance!$B$2:$S$126, 3, FALSE)</f>
        <v>6</v>
      </c>
    </row>
    <row r="14">
      <c r="A14" s="26" t="s">
        <v>28</v>
      </c>
      <c r="B14" s="28">
        <v>1.0</v>
      </c>
      <c r="C14" s="28">
        <v>1.0</v>
      </c>
      <c r="D14" s="28">
        <v>0.0</v>
      </c>
      <c r="E14" s="14" t="s">
        <v>158</v>
      </c>
      <c r="F14" s="26">
        <f>VLOOKUP(A14, pollution_tolerance!$B$2:$S$126, 3, FALSE)</f>
        <v>6</v>
      </c>
    </row>
    <row r="15">
      <c r="A15" s="26" t="s">
        <v>57</v>
      </c>
      <c r="B15" s="28">
        <v>1.875</v>
      </c>
      <c r="C15" s="28">
        <v>1.7142857142857142</v>
      </c>
      <c r="D15" s="28">
        <v>2.142857142857143</v>
      </c>
      <c r="E15" s="14" t="s">
        <v>157</v>
      </c>
      <c r="F15" s="26">
        <f>VLOOKUP(A15, pollution_tolerance!$B$2:$S$126, 3, FALSE)</f>
        <v>4</v>
      </c>
    </row>
    <row r="16">
      <c r="A16" s="29" t="s">
        <v>57</v>
      </c>
      <c r="B16" s="30">
        <v>1.875</v>
      </c>
      <c r="C16" s="30">
        <v>1.7142857142857142</v>
      </c>
      <c r="D16" s="30">
        <v>2.142857142857143</v>
      </c>
      <c r="E16" s="31" t="s">
        <v>158</v>
      </c>
      <c r="F16" s="26">
        <f>VLOOKUP(A16, pollution_tolerance!$B$2:$S$126, 3, FALSE)</f>
        <v>4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>
      <c r="A17" s="29" t="s">
        <v>57</v>
      </c>
      <c r="B17" s="30">
        <v>1.875</v>
      </c>
      <c r="C17" s="30">
        <v>1.7142857142857142</v>
      </c>
      <c r="D17" s="30">
        <v>2.142857142857143</v>
      </c>
      <c r="E17" s="31" t="s">
        <v>160</v>
      </c>
      <c r="F17" s="26">
        <f>VLOOKUP(A17, pollution_tolerance!$B$2:$S$126, 3, FALSE)</f>
        <v>4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>
      <c r="A18" s="26" t="s">
        <v>124</v>
      </c>
      <c r="B18" s="28">
        <v>0.0</v>
      </c>
      <c r="C18" s="28">
        <v>1.0</v>
      </c>
      <c r="D18" s="28">
        <v>1.0</v>
      </c>
      <c r="E18" s="14" t="s">
        <v>158</v>
      </c>
      <c r="F18" s="26">
        <f>VLOOKUP(A18, pollution_tolerance!$B$2:$S$126, 3, FALSE)</f>
        <v>10</v>
      </c>
    </row>
    <row r="19">
      <c r="A19" s="29" t="s">
        <v>124</v>
      </c>
      <c r="B19" s="30">
        <v>0.0</v>
      </c>
      <c r="C19" s="30">
        <v>1.0</v>
      </c>
      <c r="D19" s="30">
        <v>1.0</v>
      </c>
      <c r="E19" s="31" t="s">
        <v>160</v>
      </c>
      <c r="F19" s="26">
        <f>VLOOKUP(A19, pollution_tolerance!$B$2:$S$126, 3, FALSE)</f>
        <v>10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>
      <c r="A20" s="26" t="s">
        <v>90</v>
      </c>
      <c r="B20" s="28">
        <v>2.0</v>
      </c>
      <c r="C20" s="28">
        <v>1.0</v>
      </c>
      <c r="D20" s="28">
        <v>0.0</v>
      </c>
      <c r="E20" s="14" t="s">
        <v>157</v>
      </c>
      <c r="F20" s="26">
        <f>VLOOKUP(A20, pollution_tolerance!$B$2:$S$126, 3, FALSE)</f>
        <v>3</v>
      </c>
    </row>
    <row r="21">
      <c r="A21" s="26" t="s">
        <v>36</v>
      </c>
      <c r="B21" s="28">
        <v>2.0</v>
      </c>
      <c r="C21" s="28">
        <v>1.0</v>
      </c>
      <c r="D21" s="28">
        <v>1.0</v>
      </c>
      <c r="E21" s="14" t="s">
        <v>157</v>
      </c>
      <c r="F21" s="26">
        <f>VLOOKUP(A21, pollution_tolerance!$B$2:$S$126, 3, FALSE)</f>
        <v>10</v>
      </c>
    </row>
    <row r="22">
      <c r="A22" s="26" t="s">
        <v>125</v>
      </c>
      <c r="B22" s="28">
        <v>0.0</v>
      </c>
      <c r="C22" s="28">
        <v>1.0</v>
      </c>
      <c r="D22" s="28">
        <v>2.0</v>
      </c>
      <c r="E22" s="14" t="s">
        <v>160</v>
      </c>
      <c r="F22" s="26">
        <f>VLOOKUP(A22, pollution_tolerance!$B$2:$S$126, 3, FALSE)</f>
        <v>10</v>
      </c>
    </row>
    <row r="23">
      <c r="A23" s="26" t="s">
        <v>58</v>
      </c>
      <c r="B23" s="28">
        <v>1.5</v>
      </c>
      <c r="C23" s="28">
        <v>1.0</v>
      </c>
      <c r="D23" s="28">
        <v>1.0</v>
      </c>
      <c r="E23" s="14" t="s">
        <v>157</v>
      </c>
      <c r="F23" s="26">
        <f>VLOOKUP(A23, pollution_tolerance!$B$2:$S$126, 3, FALSE)</f>
        <v>4</v>
      </c>
    </row>
    <row r="24">
      <c r="A24" s="26" t="s">
        <v>126</v>
      </c>
      <c r="B24" s="28">
        <v>0.0</v>
      </c>
      <c r="C24" s="28">
        <v>0.0</v>
      </c>
      <c r="D24" s="28">
        <v>1.0</v>
      </c>
      <c r="E24" s="14" t="s">
        <v>160</v>
      </c>
      <c r="F24" s="26">
        <f>VLOOKUP(A24, pollution_tolerance!$B$2:$S$126, 3, FALSE)</f>
        <v>10</v>
      </c>
    </row>
    <row r="25">
      <c r="A25" s="26" t="s">
        <v>105</v>
      </c>
      <c r="B25" s="28">
        <v>2.0</v>
      </c>
      <c r="C25" s="28">
        <v>1.0</v>
      </c>
      <c r="D25" s="28">
        <v>2.0</v>
      </c>
      <c r="E25" s="14" t="s">
        <v>157</v>
      </c>
      <c r="F25" s="26">
        <f>VLOOKUP(A25, pollution_tolerance!$B$2:$S$126, 3, FALSE)</f>
        <v>8</v>
      </c>
    </row>
    <row r="26">
      <c r="A26" s="29" t="s">
        <v>105</v>
      </c>
      <c r="B26" s="30">
        <v>2.0</v>
      </c>
      <c r="C26" s="30">
        <v>1.0</v>
      </c>
      <c r="D26" s="30">
        <v>2.0</v>
      </c>
      <c r="E26" s="31" t="s">
        <v>160</v>
      </c>
      <c r="F26" s="26">
        <f>VLOOKUP(A26, pollution_tolerance!$B$2:$S$126, 3, FALSE)</f>
        <v>8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>
      <c r="A27" s="26" t="s">
        <v>116</v>
      </c>
      <c r="B27" s="28">
        <v>1.75</v>
      </c>
      <c r="C27" s="28">
        <v>2.0</v>
      </c>
      <c r="D27" s="28">
        <v>1.25</v>
      </c>
      <c r="E27" s="14" t="s">
        <v>157</v>
      </c>
      <c r="F27" s="26">
        <f>VLOOKUP(A27, pollution_tolerance!$B$2:$S$126, 3, FALSE)</f>
        <v>10</v>
      </c>
    </row>
    <row r="28">
      <c r="A28" s="29" t="s">
        <v>116</v>
      </c>
      <c r="B28" s="30">
        <v>1.75</v>
      </c>
      <c r="C28" s="30">
        <v>2.0</v>
      </c>
      <c r="D28" s="30">
        <v>1.25</v>
      </c>
      <c r="E28" s="31" t="s">
        <v>158</v>
      </c>
      <c r="F28" s="26">
        <f>VLOOKUP(A28, pollution_tolerance!$B$2:$S$126, 3, FALSE)</f>
        <v>10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>
      <c r="A29" s="26" t="s">
        <v>37</v>
      </c>
      <c r="B29" s="28">
        <v>1.0</v>
      </c>
      <c r="C29" s="28">
        <v>0.3333333333333333</v>
      </c>
      <c r="D29" s="28">
        <v>2.0</v>
      </c>
      <c r="E29" s="14" t="s">
        <v>160</v>
      </c>
      <c r="F29" s="26">
        <f>VLOOKUP(A29, pollution_tolerance!$B$2:$S$126, 3, FALSE)</f>
        <v>4</v>
      </c>
    </row>
    <row r="30">
      <c r="A30" s="26" t="s">
        <v>38</v>
      </c>
      <c r="B30" s="28">
        <v>1.8</v>
      </c>
      <c r="C30" s="28">
        <v>1.0</v>
      </c>
      <c r="D30" s="28">
        <v>1.0</v>
      </c>
      <c r="E30" s="14" t="s">
        <v>157</v>
      </c>
      <c r="F30" s="26">
        <f>VLOOKUP(A30, pollution_tolerance!$B$2:$S$126, 3, FALSE)</f>
        <v>2</v>
      </c>
    </row>
    <row r="31">
      <c r="A31" s="26" t="s">
        <v>117</v>
      </c>
      <c r="B31" s="28">
        <v>2.3333333333333335</v>
      </c>
      <c r="C31" s="28">
        <v>2.0</v>
      </c>
      <c r="D31" s="28">
        <v>1.0</v>
      </c>
      <c r="E31" s="14" t="s">
        <v>157</v>
      </c>
      <c r="F31" s="26">
        <f>VLOOKUP(A31, pollution_tolerance!$B$2:$S$126, 3, FALSE)</f>
        <v>10</v>
      </c>
    </row>
    <row r="32">
      <c r="A32" s="29" t="s">
        <v>117</v>
      </c>
      <c r="B32" s="30">
        <v>2.3333333333333335</v>
      </c>
      <c r="C32" s="30">
        <v>2.0</v>
      </c>
      <c r="D32" s="30">
        <v>1.0</v>
      </c>
      <c r="E32" s="31" t="s">
        <v>158</v>
      </c>
      <c r="F32" s="26">
        <f>VLOOKUP(A32, pollution_tolerance!$B$2:$S$126, 3, FALSE)</f>
        <v>10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>
      <c r="A33" s="26" t="s">
        <v>9</v>
      </c>
      <c r="B33" s="28">
        <v>0.0</v>
      </c>
      <c r="C33" s="28">
        <v>0.6666666666666666</v>
      </c>
      <c r="D33" s="28">
        <v>3.0</v>
      </c>
      <c r="E33" s="14" t="s">
        <v>160</v>
      </c>
      <c r="F33" s="26">
        <f>VLOOKUP(A33, pollution_tolerance!$B$2:$S$126, 3, FALSE)</f>
        <v>4</v>
      </c>
    </row>
    <row r="34">
      <c r="A34" s="26" t="s">
        <v>106</v>
      </c>
      <c r="B34" s="28">
        <v>1.2</v>
      </c>
      <c r="C34" s="28">
        <v>1.0</v>
      </c>
      <c r="D34" s="28">
        <v>3.0</v>
      </c>
      <c r="E34" s="14" t="s">
        <v>160</v>
      </c>
      <c r="F34" s="26">
        <f>VLOOKUP(A34, pollution_tolerance!$B$2:$S$126, 3, FALSE)</f>
        <v>6</v>
      </c>
    </row>
    <row r="35">
      <c r="A35" s="26" t="s">
        <v>107</v>
      </c>
      <c r="B35" s="28">
        <v>2.0</v>
      </c>
      <c r="C35" s="28">
        <v>0.0</v>
      </c>
      <c r="D35" s="28">
        <v>3.0</v>
      </c>
      <c r="E35" s="14" t="s">
        <v>157</v>
      </c>
      <c r="F35" s="26">
        <f>VLOOKUP(A35, pollution_tolerance!$B$2:$S$126, 3, FALSE)</f>
        <v>8</v>
      </c>
    </row>
    <row r="36">
      <c r="A36" s="29" t="s">
        <v>107</v>
      </c>
      <c r="B36" s="30">
        <v>2.0</v>
      </c>
      <c r="C36" s="30">
        <v>0.0</v>
      </c>
      <c r="D36" s="30">
        <v>3.0</v>
      </c>
      <c r="E36" s="31" t="s">
        <v>160</v>
      </c>
      <c r="F36" s="26">
        <f>VLOOKUP(A36, pollution_tolerance!$B$2:$S$126, 3, FALSE)</f>
        <v>8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>
      <c r="A37" s="26" t="s">
        <v>108</v>
      </c>
      <c r="B37" s="28">
        <v>0.5</v>
      </c>
      <c r="C37" s="28">
        <v>0.75</v>
      </c>
      <c r="D37" s="28">
        <v>3.0</v>
      </c>
      <c r="E37" s="14" t="s">
        <v>160</v>
      </c>
      <c r="F37" s="26">
        <f>VLOOKUP(A37, pollution_tolerance!$B$2:$S$126, 3, FALSE)</f>
        <v>8</v>
      </c>
    </row>
    <row r="38">
      <c r="A38" s="26" t="s">
        <v>70</v>
      </c>
      <c r="B38" s="28">
        <v>0.2727272727272727</v>
      </c>
      <c r="C38" s="28">
        <v>2.272727272727273</v>
      </c>
      <c r="D38" s="28">
        <v>2.272727272727273</v>
      </c>
      <c r="E38" s="14" t="s">
        <v>158</v>
      </c>
      <c r="F38" s="26">
        <f>VLOOKUP(A38, pollution_tolerance!$B$2:$S$126, 3, FALSE)</f>
        <v>3</v>
      </c>
    </row>
    <row r="39">
      <c r="A39" s="29" t="s">
        <v>70</v>
      </c>
      <c r="B39" s="30">
        <v>0.2727272727272727</v>
      </c>
      <c r="C39" s="30">
        <v>2.272727272727273</v>
      </c>
      <c r="D39" s="30">
        <v>2.272727272727273</v>
      </c>
      <c r="E39" s="31" t="s">
        <v>160</v>
      </c>
      <c r="F39" s="26">
        <f>VLOOKUP(A39, pollution_tolerance!$B$2:$S$126, 3, FALSE)</f>
        <v>3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29" t="s">
        <v>29</v>
      </c>
      <c r="B40" s="30">
        <v>2.0</v>
      </c>
      <c r="C40" s="30">
        <v>2.0</v>
      </c>
      <c r="D40" s="30">
        <v>0.0</v>
      </c>
      <c r="E40" s="31" t="s">
        <v>157</v>
      </c>
      <c r="F40" s="26">
        <f>VLOOKUP(A40, pollution_tolerance!$B$2:$S$126, 3, FALSE)</f>
        <v>6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>
      <c r="A41" s="26" t="s">
        <v>29</v>
      </c>
      <c r="B41" s="28">
        <v>2.0</v>
      </c>
      <c r="C41" s="28">
        <v>2.0</v>
      </c>
      <c r="D41" s="28">
        <v>0.0</v>
      </c>
      <c r="E41" s="14" t="s">
        <v>158</v>
      </c>
      <c r="F41" s="26">
        <f>VLOOKUP(A41, pollution_tolerance!$B$2:$S$126, 3, FALSE)</f>
        <v>6</v>
      </c>
    </row>
    <row r="42">
      <c r="A42" s="26" t="s">
        <v>87</v>
      </c>
      <c r="B42" s="28">
        <v>0.5</v>
      </c>
      <c r="C42" s="28">
        <v>0.0</v>
      </c>
      <c r="D42" s="28">
        <v>3.0</v>
      </c>
      <c r="E42" s="14" t="s">
        <v>160</v>
      </c>
      <c r="F42" s="26">
        <f>VLOOKUP(A42, pollution_tolerance!$B$2:$S$126, 3, FALSE)</f>
        <v>4</v>
      </c>
    </row>
    <row r="43">
      <c r="A43" s="26" t="s">
        <v>39</v>
      </c>
      <c r="B43" s="28">
        <v>0.0</v>
      </c>
      <c r="C43" s="28">
        <v>0.0</v>
      </c>
      <c r="D43" s="28">
        <v>3.0</v>
      </c>
      <c r="E43" s="14" t="s">
        <v>160</v>
      </c>
      <c r="F43" s="26">
        <f>VLOOKUP(A43, pollution_tolerance!$B$2:$S$126, 3, FALSE)</f>
        <v>2</v>
      </c>
    </row>
    <row r="44">
      <c r="A44" s="26" t="s">
        <v>11</v>
      </c>
      <c r="B44" s="27" t="s">
        <v>297</v>
      </c>
      <c r="C44" s="27" t="s">
        <v>297</v>
      </c>
      <c r="D44" s="27" t="s">
        <v>297</v>
      </c>
      <c r="E44" s="14" t="s">
        <v>297</v>
      </c>
      <c r="F44" s="26">
        <f>VLOOKUP(A44, pollution_tolerance!$B$2:$S$126, 3, FALSE)</f>
        <v>4</v>
      </c>
    </row>
    <row r="45">
      <c r="A45" s="26" t="s">
        <v>145</v>
      </c>
      <c r="B45" s="28">
        <v>0.0</v>
      </c>
      <c r="C45" s="28">
        <v>3.0</v>
      </c>
      <c r="D45" s="28">
        <v>0.0</v>
      </c>
      <c r="E45" s="14" t="s">
        <v>158</v>
      </c>
      <c r="F45" s="26">
        <f>VLOOKUP(A45, pollution_tolerance!$B$2:$S$126, 3, FALSE)</f>
        <v>5</v>
      </c>
    </row>
    <row r="46">
      <c r="A46" s="26" t="s">
        <v>40</v>
      </c>
      <c r="B46" s="28">
        <v>3.0</v>
      </c>
      <c r="C46" s="28">
        <v>1.0</v>
      </c>
      <c r="D46" s="28">
        <v>0.0</v>
      </c>
      <c r="E46" s="14" t="s">
        <v>157</v>
      </c>
      <c r="F46" s="26">
        <f>VLOOKUP(A46, pollution_tolerance!$B$2:$S$126, 3, FALSE)</f>
        <v>4</v>
      </c>
    </row>
    <row r="47">
      <c r="A47" s="26" t="s">
        <v>41</v>
      </c>
      <c r="B47" s="28">
        <v>0.0</v>
      </c>
      <c r="C47" s="28">
        <v>0.0</v>
      </c>
      <c r="D47" s="28">
        <v>1.0</v>
      </c>
      <c r="E47" s="14" t="s">
        <v>160</v>
      </c>
      <c r="F47" s="26">
        <f>VLOOKUP(A47, pollution_tolerance!$B$2:$S$126, 3, FALSE)</f>
        <v>4</v>
      </c>
    </row>
    <row r="48">
      <c r="A48" s="26" t="s">
        <v>12</v>
      </c>
      <c r="B48" s="28">
        <v>0.0</v>
      </c>
      <c r="C48" s="28">
        <v>1.0</v>
      </c>
      <c r="D48" s="28">
        <v>3.0</v>
      </c>
      <c r="E48" s="14" t="s">
        <v>160</v>
      </c>
      <c r="F48" s="26">
        <f>VLOOKUP(A48, pollution_tolerance!$B$2:$S$126, 3, FALSE)</f>
        <v>5</v>
      </c>
    </row>
    <row r="49">
      <c r="A49" s="26" t="s">
        <v>146</v>
      </c>
      <c r="B49" s="28">
        <v>0.0</v>
      </c>
      <c r="C49" s="28">
        <v>2.0</v>
      </c>
      <c r="D49" s="28">
        <v>0.0</v>
      </c>
      <c r="E49" s="14" t="s">
        <v>158</v>
      </c>
      <c r="F49" s="26">
        <f>VLOOKUP(A49, pollution_tolerance!$B$2:$S$126, 3, FALSE)</f>
        <v>5</v>
      </c>
    </row>
    <row r="50">
      <c r="A50" s="26" t="s">
        <v>13</v>
      </c>
      <c r="B50" s="28">
        <v>0.5476190476190477</v>
      </c>
      <c r="C50" s="28">
        <v>1.0238095238095237</v>
      </c>
      <c r="D50" s="28">
        <v>2.7857142857142856</v>
      </c>
      <c r="E50" s="14" t="s">
        <v>160</v>
      </c>
      <c r="F50" s="26">
        <f>VLOOKUP(A50, pollution_tolerance!$B$2:$S$126, 3, FALSE)</f>
        <v>3</v>
      </c>
    </row>
    <row r="51">
      <c r="A51" s="26" t="s">
        <v>127</v>
      </c>
      <c r="B51" s="28">
        <v>1.0</v>
      </c>
      <c r="C51" s="28">
        <v>1.0</v>
      </c>
      <c r="D51" s="28">
        <v>1.0</v>
      </c>
      <c r="E51" s="14" t="s">
        <v>157</v>
      </c>
      <c r="F51" s="26">
        <f>VLOOKUP(A51, pollution_tolerance!$B$2:$S$126, 3, FALSE)</f>
        <v>7</v>
      </c>
    </row>
    <row r="52">
      <c r="A52" s="29" t="s">
        <v>127</v>
      </c>
      <c r="B52" s="30">
        <v>1.0</v>
      </c>
      <c r="C52" s="30">
        <v>1.0</v>
      </c>
      <c r="D52" s="30">
        <v>1.0</v>
      </c>
      <c r="E52" s="31" t="s">
        <v>158</v>
      </c>
      <c r="F52" s="26">
        <f>VLOOKUP(A52, pollution_tolerance!$B$2:$S$126, 3, FALSE)</f>
        <v>7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>
      <c r="A53" s="29" t="s">
        <v>127</v>
      </c>
      <c r="B53" s="30">
        <v>1.0</v>
      </c>
      <c r="C53" s="30">
        <v>1.0</v>
      </c>
      <c r="D53" s="30">
        <v>1.0</v>
      </c>
      <c r="E53" s="31" t="s">
        <v>160</v>
      </c>
      <c r="F53" s="26">
        <f>VLOOKUP(A53, pollution_tolerance!$B$2:$S$126, 3, FALSE)</f>
        <v>7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>
      <c r="A54" s="26" t="s">
        <v>14</v>
      </c>
      <c r="B54" s="28">
        <v>1.8181818181818181</v>
      </c>
      <c r="C54" s="28">
        <v>1.0</v>
      </c>
      <c r="D54" s="28">
        <v>2.090909090909091</v>
      </c>
      <c r="E54" s="14" t="s">
        <v>157</v>
      </c>
      <c r="F54" s="26">
        <f>VLOOKUP(A54, pollution_tolerance!$B$2:$S$126, 3, FALSE)</f>
        <v>5</v>
      </c>
    </row>
    <row r="55">
      <c r="A55" s="29" t="s">
        <v>14</v>
      </c>
      <c r="B55" s="30">
        <v>1.8181818181818181</v>
      </c>
      <c r="C55" s="30">
        <v>1.0</v>
      </c>
      <c r="D55" s="30">
        <v>2.090909090909091</v>
      </c>
      <c r="E55" s="31" t="s">
        <v>160</v>
      </c>
      <c r="F55" s="26">
        <f>VLOOKUP(A55, pollution_tolerance!$B$2:$S$126, 3, FALSE)</f>
        <v>5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>
      <c r="A56" s="26" t="s">
        <v>42</v>
      </c>
      <c r="B56" s="28">
        <v>1.0</v>
      </c>
      <c r="C56" s="28">
        <v>1.0</v>
      </c>
      <c r="D56" s="28">
        <v>2.0</v>
      </c>
      <c r="E56" s="14" t="s">
        <v>160</v>
      </c>
      <c r="F56" s="26">
        <f>VLOOKUP(A56, pollution_tolerance!$B$2:$S$126, 3, FALSE)</f>
        <v>4</v>
      </c>
    </row>
    <row r="57">
      <c r="A57" s="26" t="s">
        <v>59</v>
      </c>
      <c r="B57" s="28">
        <v>2.0</v>
      </c>
      <c r="C57" s="28">
        <v>2.0</v>
      </c>
      <c r="D57" s="28">
        <v>2.5</v>
      </c>
      <c r="E57" s="14" t="s">
        <v>157</v>
      </c>
      <c r="F57" s="26">
        <f>VLOOKUP(A57, pollution_tolerance!$B$2:$S$126, 3, FALSE)</f>
        <v>7</v>
      </c>
    </row>
    <row r="58">
      <c r="A58" s="29" t="s">
        <v>59</v>
      </c>
      <c r="B58" s="30">
        <v>2.0</v>
      </c>
      <c r="C58" s="30">
        <v>2.0</v>
      </c>
      <c r="D58" s="30">
        <v>2.5</v>
      </c>
      <c r="E58" s="31" t="s">
        <v>158</v>
      </c>
      <c r="F58" s="26">
        <f>VLOOKUP(A58, pollution_tolerance!$B$2:$S$126, 3, FALSE)</f>
        <v>7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>
      <c r="A59" s="29" t="s">
        <v>59</v>
      </c>
      <c r="B59" s="30">
        <v>2.0</v>
      </c>
      <c r="C59" s="30">
        <v>2.0</v>
      </c>
      <c r="D59" s="30">
        <v>2.5</v>
      </c>
      <c r="E59" s="31" t="s">
        <v>160</v>
      </c>
      <c r="F59" s="26">
        <f>VLOOKUP(A59, pollution_tolerance!$B$2:$S$126, 3, FALSE)</f>
        <v>7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>
      <c r="A60" s="26" t="s">
        <v>60</v>
      </c>
      <c r="B60" s="28">
        <v>1.0</v>
      </c>
      <c r="C60" s="28">
        <v>1.0</v>
      </c>
      <c r="D60" s="28">
        <v>3.0</v>
      </c>
      <c r="E60" s="14" t="s">
        <v>160</v>
      </c>
      <c r="F60" s="26">
        <f>VLOOKUP(A60, pollution_tolerance!$B$2:$S$126, 3, FALSE)</f>
        <v>10</v>
      </c>
    </row>
    <row r="61">
      <c r="A61" s="26" t="s">
        <v>43</v>
      </c>
      <c r="B61" s="28">
        <v>0.0</v>
      </c>
      <c r="C61" s="28">
        <v>0.0</v>
      </c>
      <c r="D61" s="28">
        <v>1.0</v>
      </c>
      <c r="E61" s="14" t="s">
        <v>160</v>
      </c>
      <c r="F61" s="26">
        <f>VLOOKUP(A61, pollution_tolerance!$B$2:$S$126, 3, FALSE)</f>
        <v>2</v>
      </c>
    </row>
    <row r="62">
      <c r="A62" s="26" t="s">
        <v>80</v>
      </c>
      <c r="B62" s="28">
        <v>1.0</v>
      </c>
      <c r="C62" s="28">
        <v>1.0</v>
      </c>
      <c r="D62" s="28">
        <v>0.0</v>
      </c>
      <c r="E62" s="14" t="s">
        <v>157</v>
      </c>
      <c r="F62" s="26">
        <f>VLOOKUP(A62, pollution_tolerance!$B$2:$S$126, 3, FALSE)</f>
        <v>3</v>
      </c>
    </row>
    <row r="63">
      <c r="A63" s="29" t="s">
        <v>80</v>
      </c>
      <c r="B63" s="30">
        <v>1.0</v>
      </c>
      <c r="C63" s="30">
        <v>1.0</v>
      </c>
      <c r="D63" s="30">
        <v>0.0</v>
      </c>
      <c r="E63" s="31" t="s">
        <v>158</v>
      </c>
      <c r="F63" s="26">
        <f>VLOOKUP(A63, pollution_tolerance!$B$2:$S$126, 3, FALSE)</f>
        <v>3</v>
      </c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>
      <c r="A64" s="26" t="s">
        <v>91</v>
      </c>
      <c r="B64" s="28">
        <v>2.0</v>
      </c>
      <c r="C64" s="28">
        <v>1.0</v>
      </c>
      <c r="D64" s="28">
        <v>0.0</v>
      </c>
      <c r="E64" s="14" t="s">
        <v>157</v>
      </c>
      <c r="F64" s="26">
        <f>VLOOKUP(A64, pollution_tolerance!$B$2:$S$126, 3, FALSE)</f>
        <v>6</v>
      </c>
    </row>
    <row r="65">
      <c r="A65" s="26" t="s">
        <v>30</v>
      </c>
      <c r="B65" s="28">
        <v>3.0</v>
      </c>
      <c r="C65" s="28">
        <v>1.5</v>
      </c>
      <c r="D65" s="28">
        <v>0.0</v>
      </c>
      <c r="E65" s="14" t="s">
        <v>157</v>
      </c>
      <c r="F65" s="26">
        <f>VLOOKUP(A65, pollution_tolerance!$B$2:$S$126, 3, FALSE)</f>
        <v>6</v>
      </c>
    </row>
    <row r="66">
      <c r="A66" s="29" t="s">
        <v>30</v>
      </c>
      <c r="B66" s="30">
        <v>3.0</v>
      </c>
      <c r="C66" s="30">
        <v>1.5</v>
      </c>
      <c r="D66" s="30">
        <v>0.0</v>
      </c>
      <c r="E66" s="31" t="s">
        <v>158</v>
      </c>
      <c r="F66" s="26">
        <f>VLOOKUP(A66, pollution_tolerance!$B$2:$S$126, 3, FALSE)</f>
        <v>6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>
      <c r="A67" s="26" t="s">
        <v>71</v>
      </c>
      <c r="B67" s="28">
        <v>1.0</v>
      </c>
      <c r="C67" s="28">
        <v>2.0</v>
      </c>
      <c r="D67" s="28">
        <v>3.0</v>
      </c>
      <c r="E67" s="14" t="s">
        <v>158</v>
      </c>
      <c r="F67" s="26">
        <f>VLOOKUP(A67, pollution_tolerance!$B$2:$S$126, 3, FALSE)</f>
        <v>3</v>
      </c>
    </row>
    <row r="68">
      <c r="A68" s="29" t="s">
        <v>71</v>
      </c>
      <c r="B68" s="30">
        <v>1.0</v>
      </c>
      <c r="C68" s="30">
        <v>2.0</v>
      </c>
      <c r="D68" s="30">
        <v>3.0</v>
      </c>
      <c r="E68" s="31" t="s">
        <v>160</v>
      </c>
      <c r="F68" s="26">
        <f>VLOOKUP(A68, pollution_tolerance!$B$2:$S$126, 3, FALSE)</f>
        <v>3</v>
      </c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>
      <c r="A69" s="26" t="s">
        <v>81</v>
      </c>
      <c r="B69" s="28">
        <v>1.8333333333333333</v>
      </c>
      <c r="C69" s="28">
        <v>1.0</v>
      </c>
      <c r="D69" s="28">
        <v>0.0</v>
      </c>
      <c r="E69" s="14" t="s">
        <v>157</v>
      </c>
      <c r="F69" s="26">
        <f>VLOOKUP(A69, pollution_tolerance!$B$2:$S$126, 3, FALSE)</f>
        <v>3</v>
      </c>
    </row>
    <row r="70">
      <c r="A70" s="26" t="s">
        <v>128</v>
      </c>
      <c r="B70" s="28">
        <v>1.0</v>
      </c>
      <c r="C70" s="28">
        <v>1.75</v>
      </c>
      <c r="D70" s="28">
        <v>1.0</v>
      </c>
      <c r="E70" s="14" t="s">
        <v>158</v>
      </c>
      <c r="F70" s="26">
        <f>VLOOKUP(A70, pollution_tolerance!$B$2:$S$126, 3, FALSE)</f>
        <v>8</v>
      </c>
    </row>
    <row r="71">
      <c r="A71" s="26" t="s">
        <v>129</v>
      </c>
      <c r="B71" s="28">
        <v>1.0</v>
      </c>
      <c r="C71" s="28">
        <v>1.0</v>
      </c>
      <c r="D71" s="28">
        <v>2.0</v>
      </c>
      <c r="E71" s="14" t="s">
        <v>160</v>
      </c>
      <c r="F71" s="26">
        <f>VLOOKUP(A71, pollution_tolerance!$B$2:$S$126, 3, FALSE)</f>
        <v>10</v>
      </c>
    </row>
    <row r="72">
      <c r="A72" s="26" t="s">
        <v>109</v>
      </c>
      <c r="B72" s="28">
        <v>2.2</v>
      </c>
      <c r="C72" s="28">
        <v>0.6</v>
      </c>
      <c r="D72" s="28">
        <v>3.0</v>
      </c>
      <c r="E72" s="14" t="s">
        <v>157</v>
      </c>
      <c r="F72" s="26">
        <f>VLOOKUP(A72, pollution_tolerance!$B$2:$S$126, 3, FALSE)</f>
        <v>8</v>
      </c>
    </row>
    <row r="73">
      <c r="A73" s="26" t="s">
        <v>15</v>
      </c>
      <c r="B73" s="28">
        <v>0.6666666666666666</v>
      </c>
      <c r="C73" s="28">
        <v>2.0</v>
      </c>
      <c r="D73" s="28">
        <v>3.0</v>
      </c>
      <c r="E73" s="14" t="s">
        <v>158</v>
      </c>
      <c r="F73" s="26">
        <f>VLOOKUP(A73, pollution_tolerance!$B$2:$S$126, 3, FALSE)</f>
        <v>3</v>
      </c>
    </row>
    <row r="74">
      <c r="A74" s="29" t="s">
        <v>15</v>
      </c>
      <c r="B74" s="30">
        <v>0.6666666666666666</v>
      </c>
      <c r="C74" s="30">
        <v>2.0</v>
      </c>
      <c r="D74" s="30">
        <v>3.0</v>
      </c>
      <c r="E74" s="31" t="s">
        <v>160</v>
      </c>
      <c r="F74" s="26">
        <f>VLOOKUP(A74, pollution_tolerance!$B$2:$S$126, 3, FALSE)</f>
        <v>3</v>
      </c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>
      <c r="A75" s="26" t="s">
        <v>16</v>
      </c>
      <c r="B75" s="28">
        <v>1.0</v>
      </c>
      <c r="C75" s="28">
        <v>1.0</v>
      </c>
      <c r="D75" s="28">
        <v>3.0</v>
      </c>
      <c r="E75" s="14" t="s">
        <v>160</v>
      </c>
      <c r="F75" s="26">
        <f>VLOOKUP(A75, pollution_tolerance!$B$2:$S$126, 3, FALSE)</f>
        <v>4</v>
      </c>
    </row>
    <row r="76">
      <c r="A76" s="26" t="s">
        <v>17</v>
      </c>
      <c r="B76" s="28">
        <v>1.0</v>
      </c>
      <c r="C76" s="28">
        <v>1.0</v>
      </c>
      <c r="D76" s="28">
        <v>3.0</v>
      </c>
      <c r="E76" s="14" t="s">
        <v>160</v>
      </c>
      <c r="F76" s="26">
        <f>VLOOKUP(A76, pollution_tolerance!$B$2:$S$126, 3, FALSE)</f>
        <v>5</v>
      </c>
    </row>
    <row r="77">
      <c r="A77" s="26" t="s">
        <v>61</v>
      </c>
      <c r="B77" s="28">
        <v>2.8333333333333335</v>
      </c>
      <c r="C77" s="28">
        <v>1.1666666666666667</v>
      </c>
      <c r="D77" s="28">
        <v>3.0</v>
      </c>
      <c r="E77" s="14" t="s">
        <v>157</v>
      </c>
      <c r="F77" s="26">
        <f>VLOOKUP(A77, pollution_tolerance!$B$2:$S$126, 3, FALSE)</f>
        <v>10</v>
      </c>
    </row>
    <row r="78">
      <c r="A78" s="29" t="s">
        <v>61</v>
      </c>
      <c r="B78" s="30">
        <v>2.8333333333333335</v>
      </c>
      <c r="C78" s="30">
        <v>1.1666666666666667</v>
      </c>
      <c r="D78" s="30">
        <v>3.0</v>
      </c>
      <c r="E78" s="31" t="s">
        <v>160</v>
      </c>
      <c r="F78" s="26">
        <f>VLOOKUP(A78, pollution_tolerance!$B$2:$S$126, 3, FALSE)</f>
        <v>10</v>
      </c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>
      <c r="A79" s="26" t="s">
        <v>82</v>
      </c>
      <c r="B79" s="28">
        <v>2.3333333333333335</v>
      </c>
      <c r="C79" s="28">
        <v>1.0</v>
      </c>
      <c r="D79" s="28">
        <v>0.0</v>
      </c>
      <c r="E79" s="14" t="s">
        <v>157</v>
      </c>
      <c r="F79" s="26">
        <f>VLOOKUP(A79, pollution_tolerance!$B$2:$S$126, 3, FALSE)</f>
        <v>3</v>
      </c>
    </row>
    <row r="80">
      <c r="A80" s="26" t="s">
        <v>18</v>
      </c>
      <c r="B80" s="28">
        <v>1.6666666666666667</v>
      </c>
      <c r="C80" s="28">
        <v>1.0</v>
      </c>
      <c r="D80" s="28">
        <v>3.0</v>
      </c>
      <c r="E80" s="14" t="s">
        <v>157</v>
      </c>
      <c r="F80" s="26">
        <f>VLOOKUP(A80, pollution_tolerance!$B$2:$S$126, 3, FALSE)</f>
        <v>5</v>
      </c>
    </row>
    <row r="81">
      <c r="A81" s="29" t="s">
        <v>18</v>
      </c>
      <c r="B81" s="30">
        <v>1.6666666666666667</v>
      </c>
      <c r="C81" s="30">
        <v>1.0</v>
      </c>
      <c r="D81" s="30">
        <v>3.0</v>
      </c>
      <c r="E81" s="31" t="s">
        <v>160</v>
      </c>
      <c r="F81" s="26">
        <f>VLOOKUP(A81, pollution_tolerance!$B$2:$S$126, 3, FALSE)</f>
        <v>5</v>
      </c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>
      <c r="A82" s="26" t="s">
        <v>93</v>
      </c>
      <c r="B82" s="28">
        <v>2.6666666666666665</v>
      </c>
      <c r="C82" s="28">
        <v>1.1666666666666667</v>
      </c>
      <c r="D82" s="28">
        <v>0.0</v>
      </c>
      <c r="E82" s="14" t="s">
        <v>157</v>
      </c>
      <c r="F82" s="26">
        <f>VLOOKUP(A82, pollution_tolerance!$B$2:$S$126, 3, FALSE)</f>
        <v>3</v>
      </c>
    </row>
    <row r="83">
      <c r="A83" s="26" t="s">
        <v>19</v>
      </c>
      <c r="B83" s="28">
        <v>0.0</v>
      </c>
      <c r="C83" s="28">
        <v>1.0</v>
      </c>
      <c r="D83" s="28">
        <v>3.0</v>
      </c>
      <c r="E83" s="14" t="s">
        <v>160</v>
      </c>
      <c r="F83" s="26">
        <f>VLOOKUP(A83, pollution_tolerance!$B$2:$S$126, 3, FALSE)</f>
        <v>5</v>
      </c>
    </row>
    <row r="84">
      <c r="A84" s="26" t="s">
        <v>72</v>
      </c>
      <c r="B84" s="28">
        <v>1.0</v>
      </c>
      <c r="C84" s="28">
        <v>3.0</v>
      </c>
      <c r="D84" s="28">
        <v>1.0</v>
      </c>
      <c r="E84" s="14" t="s">
        <v>158</v>
      </c>
      <c r="F84" s="26">
        <f>VLOOKUP(A84, pollution_tolerance!$B$2:$S$126, 3, FALSE)</f>
        <v>3</v>
      </c>
    </row>
    <row r="85">
      <c r="A85" s="26" t="s">
        <v>20</v>
      </c>
      <c r="B85" s="28">
        <v>0.1875</v>
      </c>
      <c r="C85" s="28">
        <v>1.0</v>
      </c>
      <c r="D85" s="28">
        <v>3.0</v>
      </c>
      <c r="E85" s="14" t="s">
        <v>160</v>
      </c>
      <c r="F85" s="26">
        <f>VLOOKUP(A85, pollution_tolerance!$B$2:$S$126, 3, FALSE)</f>
        <v>3</v>
      </c>
    </row>
    <row r="86">
      <c r="A86" s="26" t="s">
        <v>130</v>
      </c>
      <c r="B86" s="28">
        <v>3.0</v>
      </c>
      <c r="C86" s="28">
        <v>1.3333333333333333</v>
      </c>
      <c r="D86" s="28">
        <v>3.0</v>
      </c>
      <c r="E86" s="14" t="s">
        <v>157</v>
      </c>
      <c r="F86" s="26">
        <f>VLOOKUP(A86, pollution_tolerance!$B$2:$S$126, 3, FALSE)</f>
        <v>5</v>
      </c>
    </row>
    <row r="87">
      <c r="A87" s="29" t="s">
        <v>130</v>
      </c>
      <c r="B87" s="30">
        <v>3.0</v>
      </c>
      <c r="C87" s="30">
        <v>1.3333333333333333</v>
      </c>
      <c r="D87" s="30">
        <v>3.0</v>
      </c>
      <c r="E87" s="31" t="s">
        <v>160</v>
      </c>
      <c r="F87" s="26">
        <f>VLOOKUP(A87, pollution_tolerance!$B$2:$S$126, 3, FALSE)</f>
        <v>5</v>
      </c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>
      <c r="A88" s="26" t="s">
        <v>131</v>
      </c>
      <c r="B88" s="28">
        <v>1.0</v>
      </c>
      <c r="C88" s="28">
        <v>1.0</v>
      </c>
      <c r="D88" s="28">
        <v>1.0</v>
      </c>
      <c r="E88" s="14" t="s">
        <v>157</v>
      </c>
      <c r="F88" s="26">
        <f>VLOOKUP(A88, pollution_tolerance!$B$2:$S$126, 3, FALSE)</f>
        <v>6</v>
      </c>
    </row>
    <row r="89">
      <c r="A89" s="29" t="s">
        <v>131</v>
      </c>
      <c r="B89" s="30">
        <v>1.0</v>
      </c>
      <c r="C89" s="30">
        <v>1.0</v>
      </c>
      <c r="D89" s="30">
        <v>1.0</v>
      </c>
      <c r="E89" s="31" t="s">
        <v>158</v>
      </c>
      <c r="F89" s="26">
        <f>VLOOKUP(A89, pollution_tolerance!$B$2:$S$126, 3, FALSE)</f>
        <v>6</v>
      </c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>
      <c r="A90" s="29" t="s">
        <v>131</v>
      </c>
      <c r="B90" s="30">
        <v>1.0</v>
      </c>
      <c r="C90" s="30">
        <v>1.0</v>
      </c>
      <c r="D90" s="30">
        <v>1.0</v>
      </c>
      <c r="E90" s="31" t="s">
        <v>160</v>
      </c>
      <c r="F90" s="26">
        <f>VLOOKUP(A90, pollution_tolerance!$B$2:$S$126, 3, FALSE)</f>
        <v>6</v>
      </c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>
      <c r="A91" s="26" t="s">
        <v>21</v>
      </c>
      <c r="B91" s="28">
        <v>0.0</v>
      </c>
      <c r="C91" s="28">
        <v>1.0</v>
      </c>
      <c r="D91" s="28">
        <v>3.0</v>
      </c>
      <c r="E91" s="14" t="s">
        <v>160</v>
      </c>
      <c r="F91" s="26">
        <f>VLOOKUP(A91, pollution_tolerance!$B$2:$S$126, 3, FALSE)</f>
        <v>3</v>
      </c>
    </row>
    <row r="92">
      <c r="A92" s="26" t="s">
        <v>132</v>
      </c>
      <c r="B92" s="28">
        <v>1.0</v>
      </c>
      <c r="C92" s="28">
        <v>1.0</v>
      </c>
      <c r="D92" s="28">
        <v>1.3333333333333333</v>
      </c>
      <c r="E92" s="14" t="s">
        <v>157</v>
      </c>
      <c r="F92" s="26">
        <f>VLOOKUP(A92, pollution_tolerance!$B$2:$S$126, 3, FALSE)</f>
        <v>10</v>
      </c>
    </row>
    <row r="93">
      <c r="A93" s="29" t="s">
        <v>132</v>
      </c>
      <c r="B93" s="30">
        <v>1.0</v>
      </c>
      <c r="C93" s="30">
        <v>1.0</v>
      </c>
      <c r="D93" s="30">
        <v>1.3333333333333333</v>
      </c>
      <c r="E93" s="31" t="s">
        <v>158</v>
      </c>
      <c r="F93" s="26">
        <f>VLOOKUP(A93, pollution_tolerance!$B$2:$S$126, 3, FALSE)</f>
        <v>10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>
      <c r="A94" s="29" t="s">
        <v>132</v>
      </c>
      <c r="B94" s="30">
        <v>1.0</v>
      </c>
      <c r="C94" s="30">
        <v>1.0</v>
      </c>
      <c r="D94" s="30">
        <v>1.3333333333333333</v>
      </c>
      <c r="E94" s="31" t="s">
        <v>160</v>
      </c>
      <c r="F94" s="26">
        <f>VLOOKUP(A94, pollution_tolerance!$B$2:$S$126, 3, FALSE)</f>
        <v>10</v>
      </c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>
      <c r="A95" s="26" t="s">
        <v>133</v>
      </c>
      <c r="B95" s="28">
        <v>1.2222222222222223</v>
      </c>
      <c r="C95" s="28">
        <v>1.0</v>
      </c>
      <c r="D95" s="28">
        <v>2.3333333333333335</v>
      </c>
      <c r="E95" s="14" t="s">
        <v>160</v>
      </c>
      <c r="F95" s="26">
        <f>VLOOKUP(A95, pollution_tolerance!$B$2:$S$126, 3, FALSE)</f>
        <v>10</v>
      </c>
    </row>
    <row r="96">
      <c r="A96" s="29" t="s">
        <v>62</v>
      </c>
      <c r="B96" s="30">
        <v>1.5</v>
      </c>
      <c r="C96" s="30">
        <v>1.0</v>
      </c>
      <c r="D96" s="30">
        <v>1.8333333333333333</v>
      </c>
      <c r="E96" s="31" t="s">
        <v>157</v>
      </c>
      <c r="F96" s="26">
        <f>VLOOKUP(A96, pollution_tolerance!$B$2:$S$126, 3, FALSE)</f>
        <v>10</v>
      </c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>
      <c r="A97" s="29" t="s">
        <v>62</v>
      </c>
      <c r="B97" s="30">
        <v>1.5</v>
      </c>
      <c r="C97" s="30">
        <v>1.0</v>
      </c>
      <c r="D97" s="30">
        <v>1.8333333333333333</v>
      </c>
      <c r="E97" s="31" t="s">
        <v>160</v>
      </c>
      <c r="F97" s="26">
        <f>VLOOKUP(A97, pollution_tolerance!$B$2:$S$126, 3, FALSE)</f>
        <v>10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>
      <c r="A98" s="26" t="s">
        <v>110</v>
      </c>
      <c r="B98" s="28">
        <v>0.3333333333333333</v>
      </c>
      <c r="C98" s="28">
        <v>1.0</v>
      </c>
      <c r="D98" s="28">
        <v>3.0</v>
      </c>
      <c r="E98" s="14" t="s">
        <v>160</v>
      </c>
      <c r="F98" s="26">
        <f>VLOOKUP(A98, pollution_tolerance!$B$2:$S$126, 3, FALSE)</f>
        <v>8</v>
      </c>
    </row>
    <row r="99">
      <c r="A99" s="26" t="s">
        <v>118</v>
      </c>
      <c r="B99" s="28">
        <v>1.6666666666666667</v>
      </c>
      <c r="C99" s="28">
        <v>1.6666666666666667</v>
      </c>
      <c r="D99" s="28">
        <v>1.0</v>
      </c>
      <c r="E99" s="14" t="s">
        <v>157</v>
      </c>
      <c r="F99" s="26">
        <f>VLOOKUP(A99, pollution_tolerance!$B$2:$S$126, 3, FALSE)</f>
        <v>10</v>
      </c>
    </row>
    <row r="100">
      <c r="A100" s="29" t="s">
        <v>118</v>
      </c>
      <c r="B100" s="30">
        <v>1.6666666666666667</v>
      </c>
      <c r="C100" s="30">
        <v>1.6666666666666667</v>
      </c>
      <c r="D100" s="30">
        <v>1.0</v>
      </c>
      <c r="E100" s="31" t="s">
        <v>158</v>
      </c>
      <c r="F100" s="26">
        <f>VLOOKUP(A100, pollution_tolerance!$B$2:$S$126, 3, FALSE)</f>
        <v>10</v>
      </c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>
      <c r="A101" s="26" t="s">
        <v>111</v>
      </c>
      <c r="B101" s="28">
        <v>0.5714285714285714</v>
      </c>
      <c r="C101" s="28">
        <v>0.7142857142857143</v>
      </c>
      <c r="D101" s="28">
        <v>3.0</v>
      </c>
      <c r="E101" s="14" t="s">
        <v>160</v>
      </c>
      <c r="F101" s="26">
        <f>VLOOKUP(A101, pollution_tolerance!$B$2:$S$126, 3, FALSE)</f>
        <v>8</v>
      </c>
    </row>
    <row r="102">
      <c r="A102" s="26" t="s">
        <v>134</v>
      </c>
      <c r="B102" s="28">
        <v>0.5238095238095238</v>
      </c>
      <c r="C102" s="28">
        <v>1.4761904761904763</v>
      </c>
      <c r="D102" s="28">
        <v>2.380952380952381</v>
      </c>
      <c r="E102" s="14" t="s">
        <v>158</v>
      </c>
      <c r="F102" s="26">
        <f>VLOOKUP(A102, pollution_tolerance!$B$2:$S$126, 3, FALSE)</f>
        <v>7</v>
      </c>
    </row>
    <row r="103">
      <c r="A103" s="29" t="s">
        <v>134</v>
      </c>
      <c r="B103" s="30">
        <v>0.5238095238095238</v>
      </c>
      <c r="C103" s="30">
        <v>1.4761904761904763</v>
      </c>
      <c r="D103" s="30">
        <v>2.380952380952381</v>
      </c>
      <c r="E103" s="31" t="s">
        <v>160</v>
      </c>
      <c r="F103" s="26">
        <f>VLOOKUP(A103, pollution_tolerance!$B$2:$S$126, 3, FALSE)</f>
        <v>7</v>
      </c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>
      <c r="A104" s="26" t="s">
        <v>44</v>
      </c>
      <c r="B104" s="28">
        <v>0.75</v>
      </c>
      <c r="C104" s="28">
        <v>1.0</v>
      </c>
      <c r="D104" s="28">
        <v>1.0</v>
      </c>
      <c r="E104" s="14" t="s">
        <v>157</v>
      </c>
      <c r="F104" s="26">
        <f>VLOOKUP(A104, pollution_tolerance!$B$2:$S$126, 3, FALSE)</f>
        <v>4</v>
      </c>
    </row>
    <row r="105">
      <c r="A105" s="29" t="s">
        <v>44</v>
      </c>
      <c r="B105" s="30">
        <v>0.75</v>
      </c>
      <c r="C105" s="30">
        <v>1.0</v>
      </c>
      <c r="D105" s="30">
        <v>1.0</v>
      </c>
      <c r="E105" s="31" t="s">
        <v>158</v>
      </c>
      <c r="F105" s="26">
        <f>VLOOKUP(A105, pollution_tolerance!$B$2:$S$126, 3, FALSE)</f>
        <v>4</v>
      </c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>
      <c r="A106" s="29" t="s">
        <v>44</v>
      </c>
      <c r="B106" s="30">
        <v>0.75</v>
      </c>
      <c r="C106" s="30">
        <v>1.0</v>
      </c>
      <c r="D106" s="30">
        <v>1.0</v>
      </c>
      <c r="E106" s="31" t="s">
        <v>160</v>
      </c>
      <c r="F106" s="26">
        <f>VLOOKUP(A106, pollution_tolerance!$B$2:$S$126, 3, FALSE)</f>
        <v>4</v>
      </c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>
      <c r="A107" s="26" t="s">
        <v>94</v>
      </c>
      <c r="B107" s="28">
        <v>2.0</v>
      </c>
      <c r="C107" s="28">
        <v>1.25</v>
      </c>
      <c r="D107" s="28">
        <v>0.0</v>
      </c>
      <c r="E107" s="14" t="s">
        <v>157</v>
      </c>
      <c r="F107" s="26">
        <f>VLOOKUP(A107, pollution_tolerance!$B$2:$S$126, 3, FALSE)</f>
        <v>3</v>
      </c>
    </row>
    <row r="108">
      <c r="A108" s="26" t="s">
        <v>73</v>
      </c>
      <c r="B108" s="28">
        <v>0.0</v>
      </c>
      <c r="C108" s="28">
        <v>2.0</v>
      </c>
      <c r="D108" s="28">
        <v>1.0</v>
      </c>
      <c r="E108" s="14" t="s">
        <v>158</v>
      </c>
      <c r="F108" s="26">
        <f>VLOOKUP(A108, pollution_tolerance!$B$2:$S$126, 3, FALSE)</f>
        <v>3</v>
      </c>
    </row>
    <row r="109">
      <c r="A109" s="26" t="s">
        <v>135</v>
      </c>
      <c r="B109" s="28">
        <v>0.0</v>
      </c>
      <c r="C109" s="28">
        <v>0.0</v>
      </c>
      <c r="D109" s="28">
        <v>1.0</v>
      </c>
      <c r="E109" s="14" t="s">
        <v>160</v>
      </c>
      <c r="F109" s="26">
        <f>VLOOKUP(A109, pollution_tolerance!$B$2:$S$126, 3, FALSE)</f>
        <v>10</v>
      </c>
    </row>
    <row r="110">
      <c r="A110" s="26" t="s">
        <v>74</v>
      </c>
      <c r="B110" s="28">
        <v>0.5</v>
      </c>
      <c r="C110" s="28">
        <v>3.0</v>
      </c>
      <c r="D110" s="28">
        <v>2.5</v>
      </c>
      <c r="E110" s="14" t="s">
        <v>158</v>
      </c>
      <c r="F110" s="26">
        <f>VLOOKUP(A110, pollution_tolerance!$B$2:$S$126, 3, FALSE)</f>
        <v>3</v>
      </c>
    </row>
    <row r="111">
      <c r="A111" s="29" t="s">
        <v>74</v>
      </c>
      <c r="B111" s="30">
        <v>0.5</v>
      </c>
      <c r="C111" s="30">
        <v>3.0</v>
      </c>
      <c r="D111" s="30">
        <v>2.5</v>
      </c>
      <c r="E111" s="31" t="s">
        <v>160</v>
      </c>
      <c r="F111" s="26">
        <f>VLOOKUP(A111, pollution_tolerance!$B$2:$S$126, 3, FALSE)</f>
        <v>3</v>
      </c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>
      <c r="A112" s="26" t="s">
        <v>119</v>
      </c>
      <c r="B112" s="28">
        <v>2.25</v>
      </c>
      <c r="C112" s="28">
        <v>2.0</v>
      </c>
      <c r="D112" s="28">
        <v>1.25</v>
      </c>
      <c r="E112" s="14" t="s">
        <v>157</v>
      </c>
      <c r="F112" s="26">
        <f>VLOOKUP(A112, pollution_tolerance!$B$2:$S$126, 3, FALSE)</f>
        <v>7</v>
      </c>
    </row>
    <row r="113">
      <c r="A113" s="29" t="s">
        <v>119</v>
      </c>
      <c r="B113" s="30">
        <v>2.25</v>
      </c>
      <c r="C113" s="30">
        <v>2.0</v>
      </c>
      <c r="D113" s="30">
        <v>1.25</v>
      </c>
      <c r="E113" s="31" t="s">
        <v>158</v>
      </c>
      <c r="F113" s="26">
        <f>VLOOKUP(A113, pollution_tolerance!$B$2:$S$126, 3, FALSE)</f>
        <v>7</v>
      </c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>
      <c r="A114" s="29" t="s">
        <v>119</v>
      </c>
      <c r="B114" s="30">
        <v>2.25</v>
      </c>
      <c r="C114" s="30">
        <v>2.0</v>
      </c>
      <c r="D114" s="30">
        <v>1.25</v>
      </c>
      <c r="E114" s="31" t="s">
        <v>160</v>
      </c>
      <c r="F114" s="26">
        <f>VLOOKUP(A114, pollution_tolerance!$B$2:$S$126, 3, FALSE)</f>
        <v>7</v>
      </c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>
      <c r="A115" s="26" t="s">
        <v>75</v>
      </c>
      <c r="B115" s="28">
        <v>1.0</v>
      </c>
      <c r="C115" s="28">
        <v>3.0</v>
      </c>
      <c r="D115" s="28">
        <v>2.0</v>
      </c>
      <c r="E115" s="14" t="s">
        <v>158</v>
      </c>
      <c r="F115" s="26">
        <f>VLOOKUP(A115, pollution_tolerance!$B$2:$S$126, 3, FALSE)</f>
        <v>3</v>
      </c>
    </row>
    <row r="116">
      <c r="A116" s="29" t="s">
        <v>75</v>
      </c>
      <c r="B116" s="30">
        <v>1.0</v>
      </c>
      <c r="C116" s="30">
        <v>3.0</v>
      </c>
      <c r="D116" s="30">
        <v>2.0</v>
      </c>
      <c r="E116" s="31" t="s">
        <v>160</v>
      </c>
      <c r="F116" s="26">
        <f>VLOOKUP(A116, pollution_tolerance!$B$2:$S$126, 3, FALSE)</f>
        <v>3</v>
      </c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>
      <c r="A117" s="26" t="s">
        <v>95</v>
      </c>
      <c r="B117" s="28">
        <v>2.0</v>
      </c>
      <c r="C117" s="28">
        <v>1.0</v>
      </c>
      <c r="D117" s="28">
        <v>0.0</v>
      </c>
      <c r="E117" s="14" t="s">
        <v>157</v>
      </c>
      <c r="F117" s="26">
        <f>VLOOKUP(A117, pollution_tolerance!$B$2:$S$126, 3, FALSE)</f>
        <v>6</v>
      </c>
    </row>
    <row r="118">
      <c r="A118" s="26" t="s">
        <v>22</v>
      </c>
      <c r="B118" s="28">
        <v>0.0</v>
      </c>
      <c r="C118" s="28">
        <v>1.0</v>
      </c>
      <c r="D118" s="28">
        <v>3.0</v>
      </c>
      <c r="E118" s="14" t="s">
        <v>160</v>
      </c>
      <c r="F118" s="26">
        <f>VLOOKUP(A118, pollution_tolerance!$B$2:$S$126, 3, FALSE)</f>
        <v>3</v>
      </c>
    </row>
    <row r="119">
      <c r="A119" s="26" t="s">
        <v>76</v>
      </c>
      <c r="B119" s="28">
        <v>0.0</v>
      </c>
      <c r="C119" s="28">
        <v>2.0</v>
      </c>
      <c r="D119" s="28">
        <v>3.0</v>
      </c>
      <c r="E119" s="14" t="s">
        <v>158</v>
      </c>
      <c r="F119" s="26">
        <f>VLOOKUP(A119, pollution_tolerance!$B$2:$S$126, 3, FALSE)</f>
        <v>3</v>
      </c>
    </row>
    <row r="120">
      <c r="A120" s="29" t="s">
        <v>76</v>
      </c>
      <c r="B120" s="30">
        <v>0.0</v>
      </c>
      <c r="C120" s="30">
        <v>2.0</v>
      </c>
      <c r="D120" s="30">
        <v>3.0</v>
      </c>
      <c r="E120" s="31" t="s">
        <v>160</v>
      </c>
      <c r="F120" s="26">
        <f>VLOOKUP(A120, pollution_tolerance!$B$2:$S$126, 3, FALSE)</f>
        <v>3</v>
      </c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>
      <c r="A121" s="26" t="s">
        <v>136</v>
      </c>
      <c r="B121" s="28">
        <v>3.0</v>
      </c>
      <c r="C121" s="28">
        <v>1.0</v>
      </c>
      <c r="D121" s="28">
        <v>2.0</v>
      </c>
      <c r="E121" s="14" t="s">
        <v>157</v>
      </c>
      <c r="F121" s="26">
        <f>VLOOKUP(A121, pollution_tolerance!$B$2:$S$126, 3, FALSE)</f>
        <v>10</v>
      </c>
    </row>
    <row r="122">
      <c r="A122" s="29" t="s">
        <v>136</v>
      </c>
      <c r="B122" s="30">
        <v>3.0</v>
      </c>
      <c r="C122" s="30">
        <v>1.0</v>
      </c>
      <c r="D122" s="30">
        <v>2.0</v>
      </c>
      <c r="E122" s="31" t="s">
        <v>160</v>
      </c>
      <c r="F122" s="26">
        <f>VLOOKUP(A122, pollution_tolerance!$B$2:$S$126, 3, FALSE)</f>
        <v>10</v>
      </c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>
      <c r="A123" s="26" t="s">
        <v>113</v>
      </c>
      <c r="B123" s="27" t="s">
        <v>297</v>
      </c>
      <c r="C123" s="27" t="s">
        <v>297</v>
      </c>
      <c r="D123" s="27" t="s">
        <v>297</v>
      </c>
      <c r="E123" s="27" t="s">
        <v>297</v>
      </c>
      <c r="F123" s="26">
        <f>VLOOKUP(A123, pollution_tolerance!$B$2:$S$126, 3, FALSE)</f>
        <v>1</v>
      </c>
    </row>
    <row r="124">
      <c r="A124" s="26" t="s">
        <v>63</v>
      </c>
      <c r="B124" s="28">
        <v>3.0</v>
      </c>
      <c r="C124" s="28">
        <v>1.0</v>
      </c>
      <c r="D124" s="28">
        <v>2.0</v>
      </c>
      <c r="E124" s="14" t="s">
        <v>157</v>
      </c>
      <c r="F124" s="26">
        <f>VLOOKUP(A124, pollution_tolerance!$B$2:$S$126, 3, FALSE)</f>
        <v>5</v>
      </c>
    </row>
    <row r="125">
      <c r="A125" s="29" t="s">
        <v>63</v>
      </c>
      <c r="B125" s="30">
        <v>3.0</v>
      </c>
      <c r="C125" s="30">
        <v>1.0</v>
      </c>
      <c r="D125" s="30">
        <v>2.0</v>
      </c>
      <c r="E125" s="31" t="s">
        <v>160</v>
      </c>
      <c r="F125" s="26">
        <f>VLOOKUP(A125, pollution_tolerance!$B$2:$S$126, 3, FALSE)</f>
        <v>5</v>
      </c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>
      <c r="A126" s="26" t="s">
        <v>31</v>
      </c>
      <c r="B126" s="27" t="s">
        <v>297</v>
      </c>
      <c r="C126" s="27" t="s">
        <v>297</v>
      </c>
      <c r="D126" s="27" t="s">
        <v>297</v>
      </c>
      <c r="E126" s="27" t="s">
        <v>297</v>
      </c>
      <c r="F126" s="26">
        <f>VLOOKUP(A126, pollution_tolerance!$B$2:$S$126, 3, FALSE)</f>
        <v>3</v>
      </c>
    </row>
    <row r="127">
      <c r="A127" s="26" t="s">
        <v>32</v>
      </c>
      <c r="B127" s="28">
        <v>3.0</v>
      </c>
      <c r="C127" s="28">
        <v>3.0</v>
      </c>
      <c r="D127" s="28">
        <v>0.0</v>
      </c>
      <c r="E127" s="14" t="s">
        <v>157</v>
      </c>
      <c r="F127" s="26">
        <f>VLOOKUP(A127, pollution_tolerance!$B$2:$S$126, 3, FALSE)</f>
        <v>6</v>
      </c>
    </row>
    <row r="128">
      <c r="A128" s="29" t="s">
        <v>32</v>
      </c>
      <c r="B128" s="30">
        <v>3.0</v>
      </c>
      <c r="C128" s="30">
        <v>3.0</v>
      </c>
      <c r="D128" s="30">
        <v>0.0</v>
      </c>
      <c r="E128" s="31" t="s">
        <v>158</v>
      </c>
      <c r="F128" s="26">
        <f>VLOOKUP(A128, pollution_tolerance!$B$2:$S$126, 3, FALSE)</f>
        <v>6</v>
      </c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>
      <c r="A129" s="26" t="s">
        <v>120</v>
      </c>
      <c r="B129" s="28">
        <v>1.0</v>
      </c>
      <c r="C129" s="28">
        <v>2.0</v>
      </c>
      <c r="D129" s="28">
        <v>1.0</v>
      </c>
      <c r="E129" s="14" t="s">
        <v>158</v>
      </c>
      <c r="F129" s="26">
        <f>VLOOKUP(A129, pollution_tolerance!$B$2:$S$126, 3, FALSE)</f>
        <v>10</v>
      </c>
    </row>
    <row r="130">
      <c r="A130" s="29" t="s">
        <v>121</v>
      </c>
      <c r="B130" s="30">
        <v>1.3333333333333333</v>
      </c>
      <c r="C130" s="30">
        <v>1.8888888888888888</v>
      </c>
      <c r="D130" s="30">
        <v>1.2222222222222223</v>
      </c>
      <c r="E130" s="31" t="s">
        <v>158</v>
      </c>
      <c r="F130" s="26">
        <f>VLOOKUP(A130, pollution_tolerance!$B$2:$S$126, 3, FALSE)</f>
        <v>10</v>
      </c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>
      <c r="A131" s="26" t="s">
        <v>121</v>
      </c>
      <c r="B131" s="28">
        <v>1.3333333333333333</v>
      </c>
      <c r="C131" s="28">
        <v>1.8888888888888888</v>
      </c>
      <c r="D131" s="28">
        <v>1.2222222222222223</v>
      </c>
      <c r="E131" s="14" t="s">
        <v>157</v>
      </c>
      <c r="F131" s="26">
        <f>VLOOKUP(A131, pollution_tolerance!$B$2:$S$126, 3, FALSE)</f>
        <v>10</v>
      </c>
    </row>
    <row r="132">
      <c r="A132" s="26" t="s">
        <v>137</v>
      </c>
      <c r="B132" s="28">
        <v>1.0</v>
      </c>
      <c r="C132" s="28">
        <v>1.3333333333333333</v>
      </c>
      <c r="D132" s="28">
        <v>1.0</v>
      </c>
      <c r="E132" s="14" t="s">
        <v>157</v>
      </c>
      <c r="F132" s="26">
        <f>VLOOKUP(A132, pollution_tolerance!$B$2:$S$126, 3, FALSE)</f>
        <v>8</v>
      </c>
    </row>
    <row r="133">
      <c r="A133" s="29" t="s">
        <v>137</v>
      </c>
      <c r="B133" s="30">
        <v>1.0</v>
      </c>
      <c r="C133" s="30">
        <v>1.3333333333333333</v>
      </c>
      <c r="D133" s="30">
        <v>1.0</v>
      </c>
      <c r="E133" s="31" t="s">
        <v>158</v>
      </c>
      <c r="F133" s="26">
        <f>VLOOKUP(A133, pollution_tolerance!$B$2:$S$126, 3, FALSE)</f>
        <v>8</v>
      </c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>
      <c r="A134" s="29" t="s">
        <v>137</v>
      </c>
      <c r="B134" s="30">
        <v>1.0</v>
      </c>
      <c r="C134" s="30">
        <v>1.3333333333333333</v>
      </c>
      <c r="D134" s="30">
        <v>1.0</v>
      </c>
      <c r="E134" s="31" t="s">
        <v>160</v>
      </c>
      <c r="F134" s="26">
        <f>VLOOKUP(A134, pollution_tolerance!$B$2:$S$126, 3, FALSE)</f>
        <v>8</v>
      </c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>
      <c r="A135" s="26" t="s">
        <v>138</v>
      </c>
      <c r="B135" s="28">
        <v>0.6666666666666666</v>
      </c>
      <c r="C135" s="28">
        <v>2.1666666666666665</v>
      </c>
      <c r="D135" s="28">
        <v>2.2</v>
      </c>
      <c r="E135" s="14" t="s">
        <v>158</v>
      </c>
      <c r="F135" s="26">
        <f>VLOOKUP(A135, pollution_tolerance!$B$2:$S$126, 3, FALSE)</f>
        <v>10</v>
      </c>
    </row>
    <row r="136">
      <c r="A136" s="29" t="s">
        <v>138</v>
      </c>
      <c r="B136" s="30">
        <v>0.6666666666666666</v>
      </c>
      <c r="C136" s="30">
        <v>2.1666666666666665</v>
      </c>
      <c r="D136" s="30">
        <v>2.2</v>
      </c>
      <c r="E136" s="31" t="s">
        <v>160</v>
      </c>
      <c r="F136" s="26">
        <f>VLOOKUP(A136, pollution_tolerance!$B$2:$S$126, 3, FALSE)</f>
        <v>10</v>
      </c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>
      <c r="A137" s="26" t="s">
        <v>96</v>
      </c>
      <c r="B137" s="28">
        <v>2.0</v>
      </c>
      <c r="C137" s="28">
        <v>1.0</v>
      </c>
      <c r="D137" s="28">
        <v>0.0</v>
      </c>
      <c r="E137" s="14" t="s">
        <v>157</v>
      </c>
      <c r="F137" s="26">
        <f>VLOOKUP(A137, pollution_tolerance!$B$2:$S$126, 3, FALSE)</f>
        <v>3</v>
      </c>
    </row>
    <row r="138">
      <c r="A138" s="26" t="s">
        <v>83</v>
      </c>
      <c r="B138" s="28">
        <v>3.0</v>
      </c>
      <c r="C138" s="28">
        <v>2.0</v>
      </c>
      <c r="D138" s="28">
        <v>0.0</v>
      </c>
      <c r="E138" s="14" t="s">
        <v>157</v>
      </c>
      <c r="F138" s="26">
        <f>VLOOKUP(A138, pollution_tolerance!$B$2:$S$126, 3, FALSE)</f>
        <v>4</v>
      </c>
    </row>
    <row r="139">
      <c r="A139" s="29" t="s">
        <v>83</v>
      </c>
      <c r="B139" s="30">
        <v>3.0</v>
      </c>
      <c r="C139" s="30">
        <v>2.0</v>
      </c>
      <c r="D139" s="30">
        <v>0.0</v>
      </c>
      <c r="E139" s="31" t="s">
        <v>158</v>
      </c>
      <c r="F139" s="26">
        <f>VLOOKUP(A139, pollution_tolerance!$B$2:$S$126, 3, FALSE)</f>
        <v>4</v>
      </c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>
      <c r="A140" s="26" t="s">
        <v>147</v>
      </c>
      <c r="B140" s="28">
        <v>0.5</v>
      </c>
      <c r="C140" s="28">
        <v>2.0</v>
      </c>
      <c r="D140" s="28">
        <v>0.0</v>
      </c>
      <c r="E140" s="14" t="s">
        <v>158</v>
      </c>
      <c r="F140" s="26">
        <f>VLOOKUP(A140, pollution_tolerance!$B$2:$S$126, 3, FALSE)</f>
        <v>5</v>
      </c>
    </row>
    <row r="141">
      <c r="A141" s="26" t="s">
        <v>97</v>
      </c>
      <c r="B141" s="28">
        <v>2.0</v>
      </c>
      <c r="C141" s="28">
        <v>1.1428571428571428</v>
      </c>
      <c r="D141" s="28">
        <v>0.0</v>
      </c>
      <c r="E141" s="14" t="s">
        <v>157</v>
      </c>
      <c r="F141" s="26">
        <f>VLOOKUP(A141, pollution_tolerance!$B$2:$S$126, 3, FALSE)</f>
        <v>3</v>
      </c>
    </row>
    <row r="142">
      <c r="A142" s="26" t="s">
        <v>112</v>
      </c>
      <c r="B142" s="28">
        <v>1.0</v>
      </c>
      <c r="C142" s="28">
        <v>1.0</v>
      </c>
      <c r="D142" s="28">
        <v>3.0</v>
      </c>
      <c r="E142" s="14" t="s">
        <v>160</v>
      </c>
      <c r="F142" s="26">
        <f>VLOOKUP(A142, pollution_tolerance!$B$2:$S$126, 3, FALSE)</f>
        <v>6</v>
      </c>
    </row>
    <row r="143">
      <c r="A143" s="26" t="s">
        <v>77</v>
      </c>
      <c r="B143" s="28">
        <v>0.0</v>
      </c>
      <c r="C143" s="28">
        <v>2.0</v>
      </c>
      <c r="D143" s="28">
        <v>2.0</v>
      </c>
      <c r="E143" s="14" t="s">
        <v>158</v>
      </c>
      <c r="F143" s="26">
        <f>VLOOKUP(A143, pollution_tolerance!$B$2:$S$126, 3, FALSE)</f>
        <v>3</v>
      </c>
    </row>
    <row r="144">
      <c r="A144" s="29" t="s">
        <v>77</v>
      </c>
      <c r="B144" s="30">
        <v>0.0</v>
      </c>
      <c r="C144" s="30">
        <v>2.0</v>
      </c>
      <c r="D144" s="30">
        <v>2.0</v>
      </c>
      <c r="E144" s="31" t="s">
        <v>160</v>
      </c>
      <c r="F144" s="26">
        <f>VLOOKUP(A144, pollution_tolerance!$B$2:$S$126, 3, FALSE)</f>
        <v>3</v>
      </c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>
      <c r="A145" s="26" t="s">
        <v>139</v>
      </c>
      <c r="B145" s="28">
        <v>1.8</v>
      </c>
      <c r="C145" s="28">
        <v>1.0</v>
      </c>
      <c r="D145" s="28">
        <v>1.8</v>
      </c>
      <c r="E145" s="14" t="s">
        <v>157</v>
      </c>
      <c r="F145" s="26">
        <f>VLOOKUP(A145, pollution_tolerance!$B$2:$S$126, 3, FALSE)</f>
        <v>7</v>
      </c>
    </row>
    <row r="146">
      <c r="A146" s="29" t="s">
        <v>139</v>
      </c>
      <c r="B146" s="30">
        <v>1.8</v>
      </c>
      <c r="C146" s="30">
        <v>1.0</v>
      </c>
      <c r="D146" s="30">
        <v>1.8</v>
      </c>
      <c r="E146" s="31" t="s">
        <v>160</v>
      </c>
      <c r="F146" s="26">
        <f>VLOOKUP(A146, pollution_tolerance!$B$2:$S$126, 3, FALSE)</f>
        <v>7</v>
      </c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>
      <c r="A147" s="26" t="s">
        <v>64</v>
      </c>
      <c r="B147" s="28">
        <v>1.0</v>
      </c>
      <c r="C147" s="28">
        <v>3.0</v>
      </c>
      <c r="D147" s="28">
        <v>3.0</v>
      </c>
      <c r="E147" s="14" t="s">
        <v>158</v>
      </c>
      <c r="F147" s="26">
        <f>VLOOKUP(A147, pollution_tolerance!$B$2:$S$126, 3, FALSE)</f>
        <v>5</v>
      </c>
    </row>
    <row r="148">
      <c r="A148" s="29" t="s">
        <v>64</v>
      </c>
      <c r="B148" s="30">
        <v>1.0</v>
      </c>
      <c r="C148" s="30">
        <v>3.0</v>
      </c>
      <c r="D148" s="30">
        <v>3.0</v>
      </c>
      <c r="E148" s="31" t="s">
        <v>160</v>
      </c>
      <c r="F148" s="26">
        <f>VLOOKUP(A148, pollution_tolerance!$B$2:$S$126, 3, FALSE)</f>
        <v>5</v>
      </c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>
      <c r="A149" s="26" t="s">
        <v>65</v>
      </c>
      <c r="B149" s="28">
        <v>2.0</v>
      </c>
      <c r="C149" s="28">
        <v>1.0</v>
      </c>
      <c r="D149" s="28">
        <v>3.0</v>
      </c>
      <c r="E149" s="14" t="s">
        <v>157</v>
      </c>
      <c r="F149" s="26">
        <f>VLOOKUP(A149, pollution_tolerance!$B$2:$S$126, 3, FALSE)</f>
        <v>10</v>
      </c>
    </row>
    <row r="150">
      <c r="A150" s="29" t="s">
        <v>65</v>
      </c>
      <c r="B150" s="30">
        <v>2.0</v>
      </c>
      <c r="C150" s="30">
        <v>1.0</v>
      </c>
      <c r="D150" s="30">
        <v>3.0</v>
      </c>
      <c r="E150" s="31" t="s">
        <v>160</v>
      </c>
      <c r="F150" s="26">
        <f>VLOOKUP(A150, pollution_tolerance!$B$2:$S$126, 3, FALSE)</f>
        <v>10</v>
      </c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>
      <c r="A151" s="26" t="s">
        <v>66</v>
      </c>
      <c r="B151" s="28">
        <v>1.0</v>
      </c>
      <c r="C151" s="28">
        <v>1.0</v>
      </c>
      <c r="D151" s="28">
        <v>1.0</v>
      </c>
      <c r="E151" s="14" t="s">
        <v>157</v>
      </c>
      <c r="F151" s="26">
        <f>VLOOKUP(A151, pollution_tolerance!$B$2:$S$126, 3, FALSE)</f>
        <v>7</v>
      </c>
    </row>
    <row r="152">
      <c r="A152" s="29" t="s">
        <v>66</v>
      </c>
      <c r="B152" s="30">
        <v>1.0</v>
      </c>
      <c r="C152" s="30">
        <v>1.0</v>
      </c>
      <c r="D152" s="30">
        <v>1.0</v>
      </c>
      <c r="E152" s="31" t="s">
        <v>158</v>
      </c>
      <c r="F152" s="26">
        <f>VLOOKUP(A152, pollution_tolerance!$B$2:$S$126, 3, FALSE)</f>
        <v>7</v>
      </c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>
      <c r="A153" s="29" t="s">
        <v>66</v>
      </c>
      <c r="B153" s="30">
        <v>1.0</v>
      </c>
      <c r="C153" s="30">
        <v>1.0</v>
      </c>
      <c r="D153" s="30">
        <v>1.0</v>
      </c>
      <c r="E153" s="31" t="s">
        <v>160</v>
      </c>
      <c r="F153" s="26">
        <f>VLOOKUP(A153, pollution_tolerance!$B$2:$S$126, 3, FALSE)</f>
        <v>7</v>
      </c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>
      <c r="A154" s="26" t="s">
        <v>23</v>
      </c>
      <c r="B154" s="28">
        <v>2.0</v>
      </c>
      <c r="C154" s="28">
        <v>1.0</v>
      </c>
      <c r="D154" s="28">
        <v>3.0</v>
      </c>
      <c r="E154" s="14" t="s">
        <v>157</v>
      </c>
      <c r="F154" s="26">
        <f>VLOOKUP(A154, pollution_tolerance!$B$2:$S$126, 3, FALSE)</f>
        <v>3</v>
      </c>
    </row>
    <row r="155">
      <c r="A155" s="29" t="s">
        <v>23</v>
      </c>
      <c r="B155" s="30">
        <v>2.0</v>
      </c>
      <c r="C155" s="30">
        <v>1.0</v>
      </c>
      <c r="D155" s="30">
        <v>3.0</v>
      </c>
      <c r="E155" s="31" t="s">
        <v>160</v>
      </c>
      <c r="F155" s="26">
        <f>VLOOKUP(A155, pollution_tolerance!$B$2:$S$126, 3, FALSE)</f>
        <v>3</v>
      </c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>
      <c r="A156" s="26" t="s">
        <v>45</v>
      </c>
      <c r="B156" s="28">
        <v>3.0</v>
      </c>
      <c r="C156" s="28">
        <v>1.0</v>
      </c>
      <c r="D156" s="28">
        <v>1.0</v>
      </c>
      <c r="E156" s="14" t="s">
        <v>157</v>
      </c>
      <c r="F156" s="26">
        <f>VLOOKUP(A156, pollution_tolerance!$B$2:$S$126, 3, FALSE)</f>
        <v>4</v>
      </c>
    </row>
    <row r="157">
      <c r="A157" s="26" t="s">
        <v>140</v>
      </c>
      <c r="B157" s="28">
        <v>1.2</v>
      </c>
      <c r="C157" s="28">
        <v>1.0</v>
      </c>
      <c r="D157" s="28">
        <v>1.0</v>
      </c>
      <c r="E157" s="14" t="s">
        <v>157</v>
      </c>
      <c r="F157" s="26">
        <f>VLOOKUP(A157, pollution_tolerance!$B$2:$S$126, 3, FALSE)</f>
        <v>8</v>
      </c>
    </row>
    <row r="158">
      <c r="A158" s="29" t="s">
        <v>140</v>
      </c>
      <c r="B158" s="30">
        <v>1.2</v>
      </c>
      <c r="C158" s="30">
        <v>1.0</v>
      </c>
      <c r="D158" s="30">
        <v>1.0</v>
      </c>
      <c r="E158" s="31" t="s">
        <v>158</v>
      </c>
      <c r="F158" s="26">
        <f>VLOOKUP(A158, pollution_tolerance!$B$2:$S$126, 3, FALSE)</f>
        <v>8</v>
      </c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>
      <c r="A159" s="29" t="s">
        <v>140</v>
      </c>
      <c r="B159" s="30">
        <v>1.2</v>
      </c>
      <c r="C159" s="30">
        <v>1.0</v>
      </c>
      <c r="D159" s="30">
        <v>1.0</v>
      </c>
      <c r="E159" s="31" t="s">
        <v>160</v>
      </c>
      <c r="F159" s="26">
        <f>VLOOKUP(A159, pollution_tolerance!$B$2:$S$126, 3, FALSE)</f>
        <v>8</v>
      </c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>
      <c r="A160" s="26" t="s">
        <v>46</v>
      </c>
      <c r="B160" s="28">
        <v>2.0</v>
      </c>
      <c r="C160" s="28">
        <v>1.0</v>
      </c>
      <c r="D160" s="28">
        <v>1.0</v>
      </c>
      <c r="E160" s="14" t="s">
        <v>157</v>
      </c>
      <c r="F160" s="26">
        <f>VLOOKUP(A160, pollution_tolerance!$B$2:$S$126, 3, FALSE)</f>
        <v>4</v>
      </c>
    </row>
    <row r="161">
      <c r="A161" s="26" t="s">
        <v>47</v>
      </c>
      <c r="B161" s="28">
        <v>0.0</v>
      </c>
      <c r="C161" s="28">
        <v>0.0</v>
      </c>
      <c r="D161" s="28">
        <v>0.0</v>
      </c>
      <c r="E161" s="14" t="s">
        <v>297</v>
      </c>
      <c r="F161" s="26">
        <f>VLOOKUP(A161, pollution_tolerance!$B$2:$S$126, 3, FALSE)</f>
        <v>4</v>
      </c>
    </row>
    <row r="162">
      <c r="A162" s="26" t="s">
        <v>141</v>
      </c>
      <c r="B162" s="28">
        <v>2.75</v>
      </c>
      <c r="C162" s="28">
        <v>1.5</v>
      </c>
      <c r="D162" s="28">
        <v>2.0</v>
      </c>
      <c r="E162" s="14" t="s">
        <v>157</v>
      </c>
      <c r="F162" s="26">
        <f>VLOOKUP(A162, pollution_tolerance!$B$2:$S$126, 3, FALSE)</f>
        <v>7</v>
      </c>
    </row>
    <row r="163">
      <c r="A163" s="29" t="s">
        <v>141</v>
      </c>
      <c r="B163" s="30">
        <v>2.75</v>
      </c>
      <c r="C163" s="30">
        <v>1.5</v>
      </c>
      <c r="D163" s="30">
        <v>2.0</v>
      </c>
      <c r="E163" s="31" t="s">
        <v>158</v>
      </c>
      <c r="F163" s="26">
        <f>VLOOKUP(A163, pollution_tolerance!$B$2:$S$126, 3, FALSE)</f>
        <v>7</v>
      </c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>
      <c r="A164" s="29" t="s">
        <v>141</v>
      </c>
      <c r="B164" s="30">
        <v>2.75</v>
      </c>
      <c r="C164" s="30">
        <v>1.5</v>
      </c>
      <c r="D164" s="30">
        <v>2.0</v>
      </c>
      <c r="E164" s="31" t="s">
        <v>160</v>
      </c>
      <c r="F164" s="26">
        <f>VLOOKUP(A164, pollution_tolerance!$B$2:$S$126, 3, FALSE)</f>
        <v>7</v>
      </c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>
      <c r="A165" s="26" t="s">
        <v>48</v>
      </c>
      <c r="B165" s="28">
        <v>0.0</v>
      </c>
      <c r="C165" s="28">
        <v>1.0</v>
      </c>
      <c r="D165" s="28">
        <v>0.0</v>
      </c>
      <c r="E165" s="14" t="s">
        <v>158</v>
      </c>
      <c r="F165" s="26">
        <f>VLOOKUP(A165, pollution_tolerance!$B$2:$S$126, 3, FALSE)</f>
        <v>4</v>
      </c>
    </row>
    <row r="166">
      <c r="A166" s="26" t="s">
        <v>49</v>
      </c>
      <c r="B166" s="28">
        <v>0.0</v>
      </c>
      <c r="C166" s="28">
        <v>1.0</v>
      </c>
      <c r="D166" s="28">
        <v>1.0</v>
      </c>
      <c r="E166" s="14" t="s">
        <v>158</v>
      </c>
      <c r="F166" s="26">
        <f>VLOOKUP(A166, pollution_tolerance!$B$2:$S$126, 3, FALSE)</f>
        <v>4</v>
      </c>
    </row>
    <row r="167">
      <c r="A167" s="29" t="s">
        <v>49</v>
      </c>
      <c r="B167" s="30">
        <v>0.0</v>
      </c>
      <c r="C167" s="30">
        <v>1.0</v>
      </c>
      <c r="D167" s="30">
        <v>1.0</v>
      </c>
      <c r="E167" s="31" t="s">
        <v>160</v>
      </c>
      <c r="F167" s="26">
        <f>VLOOKUP(A167, pollution_tolerance!$B$2:$S$126, 3, FALSE)</f>
        <v>4</v>
      </c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>
      <c r="A168" s="26" t="s">
        <v>24</v>
      </c>
      <c r="B168" s="28">
        <v>1.0</v>
      </c>
      <c r="C168" s="28">
        <v>1.0</v>
      </c>
      <c r="D168" s="28">
        <v>3.0</v>
      </c>
      <c r="E168" s="14" t="s">
        <v>160</v>
      </c>
      <c r="F168" s="26">
        <f>VLOOKUP(A168, pollution_tolerance!$B$2:$S$126, 3, FALSE)</f>
        <v>3</v>
      </c>
    </row>
    <row r="169">
      <c r="A169" s="26" t="s">
        <v>142</v>
      </c>
      <c r="B169" s="28">
        <v>2.0</v>
      </c>
      <c r="C169" s="28">
        <v>1.0</v>
      </c>
      <c r="D169" s="28">
        <v>1.0</v>
      </c>
      <c r="E169" s="14" t="s">
        <v>157</v>
      </c>
      <c r="F169" s="26">
        <f>VLOOKUP(A169, pollution_tolerance!$B$2:$S$126, 3, FALSE)</f>
        <v>10</v>
      </c>
    </row>
    <row r="170">
      <c r="A170" s="26" t="s">
        <v>85</v>
      </c>
      <c r="B170" s="28">
        <v>0.0</v>
      </c>
      <c r="C170" s="28">
        <v>2.0</v>
      </c>
      <c r="D170" s="28">
        <v>1.0</v>
      </c>
      <c r="E170" s="14" t="s">
        <v>158</v>
      </c>
      <c r="F170" s="26">
        <f>VLOOKUP(A170, pollution_tolerance!$B$2:$S$126, 3, FALSE)</f>
        <v>4</v>
      </c>
    </row>
    <row r="171">
      <c r="A171" s="26" t="s">
        <v>50</v>
      </c>
      <c r="B171" s="28">
        <v>2.0</v>
      </c>
      <c r="C171" s="28">
        <v>1.5</v>
      </c>
      <c r="D171" s="28">
        <v>1.0</v>
      </c>
      <c r="E171" s="14" t="s">
        <v>157</v>
      </c>
      <c r="F171" s="26">
        <f>VLOOKUP(A171, pollution_tolerance!$B$2:$S$126, 3, FALSE)</f>
        <v>5</v>
      </c>
    </row>
    <row r="172">
      <c r="A172" s="29" t="s">
        <v>50</v>
      </c>
      <c r="B172" s="30">
        <v>2.0</v>
      </c>
      <c r="C172" s="30">
        <v>1.5</v>
      </c>
      <c r="D172" s="30">
        <v>1.0</v>
      </c>
      <c r="E172" s="31" t="s">
        <v>158</v>
      </c>
      <c r="F172" s="26">
        <f>VLOOKUP(A172, pollution_tolerance!$B$2:$S$126, 3, FALSE)</f>
        <v>5</v>
      </c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>
      <c r="A173" s="26" t="s">
        <v>67</v>
      </c>
      <c r="B173" s="28">
        <v>1.0</v>
      </c>
      <c r="C173" s="28">
        <v>2.0</v>
      </c>
      <c r="D173" s="28">
        <v>3.0</v>
      </c>
      <c r="E173" s="14" t="s">
        <v>158</v>
      </c>
      <c r="F173" s="26">
        <f>VLOOKUP(A173, pollution_tolerance!$B$2:$S$126, 3, FALSE)</f>
        <v>10</v>
      </c>
    </row>
    <row r="174">
      <c r="A174" s="29" t="s">
        <v>67</v>
      </c>
      <c r="B174" s="30">
        <v>1.0</v>
      </c>
      <c r="C174" s="30">
        <v>2.0</v>
      </c>
      <c r="D174" s="30">
        <v>3.0</v>
      </c>
      <c r="E174" s="31" t="s">
        <v>160</v>
      </c>
      <c r="F174" s="26">
        <f>VLOOKUP(A174, pollution_tolerance!$B$2:$S$126, 3, FALSE)</f>
        <v>10</v>
      </c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>
      <c r="A175" s="26" t="s">
        <v>98</v>
      </c>
      <c r="B175" s="28">
        <v>2.0</v>
      </c>
      <c r="C175" s="28">
        <v>1.0</v>
      </c>
      <c r="D175" s="28">
        <v>0.0</v>
      </c>
      <c r="E175" s="14" t="s">
        <v>157</v>
      </c>
      <c r="F175" s="26">
        <f>VLOOKUP(A175, pollution_tolerance!$B$2:$S$126, 3, FALSE)</f>
        <v>3</v>
      </c>
    </row>
    <row r="176">
      <c r="A176" s="26" t="s">
        <v>51</v>
      </c>
      <c r="B176" s="28">
        <v>1.0</v>
      </c>
      <c r="C176" s="28">
        <v>1.0</v>
      </c>
      <c r="D176" s="28">
        <v>3.0</v>
      </c>
      <c r="E176" s="14" t="s">
        <v>160</v>
      </c>
      <c r="F176" s="26">
        <f>VLOOKUP(A176, pollution_tolerance!$B$2:$S$126, 3, FALSE)</f>
        <v>4</v>
      </c>
    </row>
    <row r="177">
      <c r="A177" s="26" t="s">
        <v>52</v>
      </c>
      <c r="B177" s="28">
        <v>0.0</v>
      </c>
      <c r="C177" s="28">
        <v>1.0</v>
      </c>
      <c r="D177" s="28">
        <v>3.0</v>
      </c>
      <c r="E177" s="14" t="s">
        <v>160</v>
      </c>
      <c r="F177" s="26">
        <f>VLOOKUP(A177, pollution_tolerance!$B$2:$S$126, 3, FALSE)</f>
        <v>1</v>
      </c>
    </row>
    <row r="178">
      <c r="A178" s="26" t="s">
        <v>53</v>
      </c>
      <c r="B178" s="28">
        <v>0.0</v>
      </c>
      <c r="C178" s="28">
        <v>1.0</v>
      </c>
      <c r="D178" s="28">
        <v>3.0</v>
      </c>
      <c r="E178" s="14" t="s">
        <v>160</v>
      </c>
      <c r="F178" s="26">
        <f>VLOOKUP(A178, pollution_tolerance!$B$2:$S$126, 3, FALSE)</f>
        <v>4</v>
      </c>
    </row>
    <row r="179">
      <c r="A179" s="26" t="s">
        <v>122</v>
      </c>
      <c r="B179" s="28">
        <v>2.0</v>
      </c>
      <c r="C179" s="28">
        <v>2.0</v>
      </c>
      <c r="D179" s="28">
        <v>1.0</v>
      </c>
      <c r="E179" s="14" t="s">
        <v>157</v>
      </c>
      <c r="F179" s="26">
        <f>VLOOKUP(A179, pollution_tolerance!$B$2:$S$126, 3, FALSE)</f>
        <v>10</v>
      </c>
    </row>
    <row r="180">
      <c r="A180" s="29" t="s">
        <v>122</v>
      </c>
      <c r="B180" s="30">
        <v>2.0</v>
      </c>
      <c r="C180" s="30">
        <v>2.0</v>
      </c>
      <c r="D180" s="30">
        <v>1.0</v>
      </c>
      <c r="E180" s="31" t="s">
        <v>158</v>
      </c>
      <c r="F180" s="26">
        <f>VLOOKUP(A180, pollution_tolerance!$B$2:$S$126, 3, FALSE)</f>
        <v>10</v>
      </c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>
      <c r="A181" s="26" t="s">
        <v>54</v>
      </c>
      <c r="B181" s="28">
        <v>2.0</v>
      </c>
      <c r="C181" s="28">
        <v>1.0</v>
      </c>
      <c r="D181" s="28">
        <v>1.0</v>
      </c>
      <c r="E181" s="14" t="s">
        <v>157</v>
      </c>
      <c r="F181" s="26">
        <f>VLOOKUP(A181, pollution_tolerance!$B$2:$S$126, 3, FALSE)</f>
        <v>2</v>
      </c>
    </row>
    <row r="182">
      <c r="A182" s="26" t="s">
        <v>99</v>
      </c>
      <c r="B182" s="28">
        <v>3.0</v>
      </c>
      <c r="C182" s="28">
        <v>1.0</v>
      </c>
      <c r="D182" s="28">
        <v>0.0</v>
      </c>
      <c r="E182" s="14" t="s">
        <v>157</v>
      </c>
      <c r="F182" s="26">
        <f>VLOOKUP(A182, pollution_tolerance!$B$2:$S$126, 3, FALSE)</f>
        <v>6</v>
      </c>
    </row>
    <row r="183">
      <c r="A183" s="26" t="s">
        <v>55</v>
      </c>
      <c r="B183" s="28">
        <v>0.0</v>
      </c>
      <c r="C183" s="28">
        <v>1.0</v>
      </c>
      <c r="D183" s="28">
        <v>1.0</v>
      </c>
      <c r="E183" s="14" t="s">
        <v>158</v>
      </c>
      <c r="F183" s="26">
        <f>VLOOKUP(A183, pollution_tolerance!$B$2:$S$126, 3, FALSE)</f>
        <v>5</v>
      </c>
    </row>
    <row r="184">
      <c r="A184" s="29" t="s">
        <v>55</v>
      </c>
      <c r="B184" s="30">
        <v>0.0</v>
      </c>
      <c r="C184" s="30">
        <v>1.0</v>
      </c>
      <c r="D184" s="30">
        <v>1.0</v>
      </c>
      <c r="E184" s="31" t="s">
        <v>160</v>
      </c>
      <c r="F184" s="26">
        <f>VLOOKUP(A184, pollution_tolerance!$B$2:$S$126, 3, FALSE)</f>
        <v>5</v>
      </c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>
      <c r="A185" s="26" t="s">
        <v>143</v>
      </c>
      <c r="B185" s="28">
        <v>0.0</v>
      </c>
      <c r="C185" s="28">
        <v>0.0</v>
      </c>
      <c r="D185" s="28">
        <v>2.0</v>
      </c>
      <c r="E185" s="14" t="s">
        <v>160</v>
      </c>
      <c r="F185" s="26">
        <f>VLOOKUP(A185, pollution_tolerance!$B$2:$S$126, 3, FALSE)</f>
        <v>10</v>
      </c>
    </row>
    <row r="186">
      <c r="A186" s="26" t="s">
        <v>100</v>
      </c>
      <c r="B186" s="28">
        <v>3.0</v>
      </c>
      <c r="C186" s="28">
        <v>1.0</v>
      </c>
      <c r="D186" s="28">
        <v>0.0</v>
      </c>
      <c r="E186" s="14" t="s">
        <v>157</v>
      </c>
      <c r="F186" s="26">
        <f>VLOOKUP(A186, pollution_tolerance!$B$2:$S$126, 3, FALSE)</f>
        <v>6</v>
      </c>
    </row>
    <row r="187">
      <c r="A187" s="26" t="s">
        <v>101</v>
      </c>
      <c r="B187" s="28">
        <v>2.0</v>
      </c>
      <c r="C187" s="28">
        <v>1.0</v>
      </c>
      <c r="D187" s="28">
        <v>0.0</v>
      </c>
      <c r="E187" s="14" t="s">
        <v>157</v>
      </c>
      <c r="F187" s="26">
        <f>VLOOKUP(A187, pollution_tolerance!$B$2:$S$126, 3, FALSE)</f>
        <v>3</v>
      </c>
    </row>
    <row r="188">
      <c r="A188" s="26" t="s">
        <v>78</v>
      </c>
      <c r="B188" s="28">
        <v>0.75</v>
      </c>
      <c r="C188" s="28">
        <v>2.25</v>
      </c>
      <c r="D188" s="28">
        <v>1.0</v>
      </c>
      <c r="E188" s="14" t="s">
        <v>158</v>
      </c>
      <c r="F188" s="26">
        <f>VLOOKUP(A188, pollution_tolerance!$B$2:$S$126, 3, FALSE)</f>
        <v>3</v>
      </c>
    </row>
    <row r="189">
      <c r="A189" s="26" t="s">
        <v>102</v>
      </c>
      <c r="B189" s="28">
        <v>2.0</v>
      </c>
      <c r="C189" s="28">
        <v>1.0</v>
      </c>
      <c r="D189" s="28">
        <v>0.0</v>
      </c>
      <c r="E189" s="14" t="s">
        <v>157</v>
      </c>
      <c r="F189" s="26">
        <f>VLOOKUP(A189, pollution_tolerance!$B$2:$S$126, 3, FALSE)</f>
        <v>6</v>
      </c>
    </row>
    <row r="190">
      <c r="A190" s="32" t="s">
        <v>579</v>
      </c>
      <c r="B190" s="33">
        <f t="shared" ref="B190:D190" si="1">AVERAGE(B3:B189)</f>
        <v>1.330327179</v>
      </c>
      <c r="C190" s="33">
        <f t="shared" si="1"/>
        <v>1.338976809</v>
      </c>
      <c r="D190" s="33">
        <f t="shared" si="1"/>
        <v>1.533868348</v>
      </c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>
      <c r="A191" s="14" t="s">
        <v>580</v>
      </c>
      <c r="B191" s="35">
        <f t="shared" ref="B191:D191" si="2">MEDIAN(B3:B189)</f>
        <v>1</v>
      </c>
      <c r="C191" s="35">
        <f t="shared" si="2"/>
        <v>1</v>
      </c>
      <c r="D191" s="35">
        <f t="shared" si="2"/>
        <v>1.25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26" t="s">
        <v>155</v>
      </c>
      <c r="B1" s="26" t="s">
        <v>578</v>
      </c>
      <c r="C1" s="26" t="s">
        <v>3</v>
      </c>
    </row>
    <row r="2">
      <c r="A2" s="26" t="s">
        <v>6</v>
      </c>
      <c r="B2" s="26" t="s">
        <v>297</v>
      </c>
      <c r="C2" s="26">
        <v>4.0</v>
      </c>
    </row>
    <row r="3">
      <c r="A3" s="26" t="s">
        <v>104</v>
      </c>
      <c r="B3" s="26" t="s">
        <v>160</v>
      </c>
      <c r="C3" s="26">
        <v>8.0</v>
      </c>
    </row>
    <row r="4">
      <c r="A4" s="26" t="s">
        <v>89</v>
      </c>
      <c r="B4" s="26" t="s">
        <v>157</v>
      </c>
      <c r="C4" s="26">
        <v>6.0</v>
      </c>
    </row>
    <row r="5">
      <c r="A5" s="26" t="s">
        <v>34</v>
      </c>
      <c r="B5" s="26" t="s">
        <v>158</v>
      </c>
      <c r="C5" s="26">
        <v>4.0</v>
      </c>
    </row>
    <row r="6">
      <c r="A6" s="26" t="s">
        <v>69</v>
      </c>
      <c r="B6" s="26" t="s">
        <v>157</v>
      </c>
      <c r="C6" s="26">
        <v>10.0</v>
      </c>
    </row>
    <row r="7">
      <c r="A7" s="26" t="s">
        <v>69</v>
      </c>
      <c r="B7" s="26" t="s">
        <v>158</v>
      </c>
      <c r="C7" s="26">
        <v>10.0</v>
      </c>
    </row>
    <row r="8">
      <c r="A8" s="26" t="s">
        <v>26</v>
      </c>
      <c r="B8" s="26" t="s">
        <v>157</v>
      </c>
      <c r="C8" s="26">
        <v>3.0</v>
      </c>
    </row>
    <row r="9">
      <c r="A9" s="26" t="s">
        <v>27</v>
      </c>
      <c r="B9" s="26" t="s">
        <v>158</v>
      </c>
      <c r="C9" s="26">
        <v>8.0</v>
      </c>
    </row>
    <row r="10">
      <c r="A10" s="26" t="s">
        <v>35</v>
      </c>
      <c r="B10" s="26" t="s">
        <v>158</v>
      </c>
      <c r="C10" s="26">
        <v>10.0</v>
      </c>
    </row>
    <row r="11">
      <c r="A11" s="26" t="s">
        <v>35</v>
      </c>
      <c r="B11" s="26" t="s">
        <v>160</v>
      </c>
      <c r="C11" s="26">
        <v>10.0</v>
      </c>
    </row>
    <row r="12">
      <c r="A12" s="26" t="s">
        <v>28</v>
      </c>
      <c r="B12" s="26" t="s">
        <v>157</v>
      </c>
      <c r="C12" s="26">
        <v>6.0</v>
      </c>
    </row>
    <row r="13">
      <c r="A13" s="26" t="s">
        <v>28</v>
      </c>
      <c r="B13" s="26" t="s">
        <v>158</v>
      </c>
      <c r="C13" s="26">
        <v>6.0</v>
      </c>
    </row>
    <row r="14">
      <c r="A14" s="26" t="s">
        <v>57</v>
      </c>
      <c r="B14" s="26" t="s">
        <v>157</v>
      </c>
      <c r="C14" s="26">
        <v>4.0</v>
      </c>
    </row>
    <row r="15">
      <c r="A15" s="26" t="s">
        <v>57</v>
      </c>
      <c r="B15" s="26" t="s">
        <v>158</v>
      </c>
      <c r="C15" s="26">
        <v>4.0</v>
      </c>
    </row>
    <row r="16">
      <c r="A16" s="26" t="s">
        <v>57</v>
      </c>
      <c r="B16" s="26" t="s">
        <v>160</v>
      </c>
      <c r="C16" s="26">
        <v>4.0</v>
      </c>
    </row>
    <row r="17">
      <c r="A17" s="26" t="s">
        <v>124</v>
      </c>
      <c r="B17" s="26" t="s">
        <v>158</v>
      </c>
      <c r="C17" s="26">
        <v>10.0</v>
      </c>
    </row>
    <row r="18">
      <c r="A18" s="26" t="s">
        <v>124</v>
      </c>
      <c r="B18" s="26" t="s">
        <v>160</v>
      </c>
      <c r="C18" s="26">
        <v>10.0</v>
      </c>
    </row>
    <row r="19">
      <c r="A19" s="26" t="s">
        <v>90</v>
      </c>
      <c r="B19" s="26" t="s">
        <v>157</v>
      </c>
      <c r="C19" s="26">
        <v>3.0</v>
      </c>
    </row>
    <row r="20">
      <c r="A20" s="26" t="s">
        <v>36</v>
      </c>
      <c r="B20" s="26" t="s">
        <v>157</v>
      </c>
      <c r="C20" s="26">
        <v>10.0</v>
      </c>
    </row>
    <row r="21">
      <c r="A21" s="26" t="s">
        <v>125</v>
      </c>
      <c r="B21" s="26" t="s">
        <v>160</v>
      </c>
      <c r="C21" s="26">
        <v>10.0</v>
      </c>
    </row>
    <row r="22">
      <c r="A22" s="26" t="s">
        <v>58</v>
      </c>
      <c r="B22" s="26" t="s">
        <v>157</v>
      </c>
      <c r="C22" s="26">
        <v>4.0</v>
      </c>
    </row>
    <row r="23">
      <c r="A23" s="26" t="s">
        <v>126</v>
      </c>
      <c r="B23" s="26" t="s">
        <v>160</v>
      </c>
      <c r="C23" s="26">
        <v>10.0</v>
      </c>
    </row>
    <row r="24">
      <c r="A24" s="26" t="s">
        <v>105</v>
      </c>
      <c r="B24" s="26" t="s">
        <v>157</v>
      </c>
      <c r="C24" s="26">
        <v>8.0</v>
      </c>
    </row>
    <row r="25">
      <c r="A25" s="26" t="s">
        <v>105</v>
      </c>
      <c r="B25" s="26" t="s">
        <v>160</v>
      </c>
      <c r="C25" s="26">
        <v>8.0</v>
      </c>
    </row>
    <row r="26">
      <c r="A26" s="26" t="s">
        <v>116</v>
      </c>
      <c r="B26" s="26" t="s">
        <v>157</v>
      </c>
      <c r="C26" s="26">
        <v>10.0</v>
      </c>
    </row>
    <row r="27">
      <c r="A27" s="26" t="s">
        <v>116</v>
      </c>
      <c r="B27" s="26" t="s">
        <v>158</v>
      </c>
      <c r="C27" s="26">
        <v>10.0</v>
      </c>
    </row>
    <row r="28">
      <c r="A28" s="26" t="s">
        <v>37</v>
      </c>
      <c r="B28" s="26" t="s">
        <v>160</v>
      </c>
      <c r="C28" s="26">
        <v>4.0</v>
      </c>
    </row>
    <row r="29">
      <c r="A29" s="26" t="s">
        <v>38</v>
      </c>
      <c r="B29" s="26" t="s">
        <v>157</v>
      </c>
      <c r="C29" s="26">
        <v>2.0</v>
      </c>
    </row>
    <row r="30">
      <c r="A30" s="26" t="s">
        <v>117</v>
      </c>
      <c r="B30" s="26" t="s">
        <v>157</v>
      </c>
      <c r="C30" s="26">
        <v>10.0</v>
      </c>
    </row>
    <row r="31">
      <c r="A31" s="26" t="s">
        <v>117</v>
      </c>
      <c r="B31" s="26" t="s">
        <v>158</v>
      </c>
      <c r="C31" s="26">
        <v>10.0</v>
      </c>
    </row>
    <row r="32">
      <c r="A32" s="26" t="s">
        <v>9</v>
      </c>
      <c r="B32" s="26" t="s">
        <v>160</v>
      </c>
      <c r="C32" s="26">
        <v>4.0</v>
      </c>
    </row>
    <row r="33">
      <c r="A33" s="26" t="s">
        <v>106</v>
      </c>
      <c r="B33" s="26" t="s">
        <v>160</v>
      </c>
      <c r="C33" s="26">
        <v>6.0</v>
      </c>
    </row>
    <row r="34">
      <c r="A34" s="26" t="s">
        <v>107</v>
      </c>
      <c r="B34" s="26" t="s">
        <v>157</v>
      </c>
      <c r="C34" s="26">
        <v>8.0</v>
      </c>
    </row>
    <row r="35">
      <c r="A35" s="26" t="s">
        <v>107</v>
      </c>
      <c r="B35" s="26" t="s">
        <v>160</v>
      </c>
      <c r="C35" s="26">
        <v>8.0</v>
      </c>
    </row>
    <row r="36">
      <c r="A36" s="26" t="s">
        <v>108</v>
      </c>
      <c r="B36" s="26" t="s">
        <v>160</v>
      </c>
      <c r="C36" s="26">
        <v>8.0</v>
      </c>
    </row>
    <row r="37">
      <c r="A37" s="26" t="s">
        <v>70</v>
      </c>
      <c r="B37" s="26" t="s">
        <v>158</v>
      </c>
      <c r="C37" s="26">
        <v>3.0</v>
      </c>
    </row>
    <row r="38">
      <c r="A38" s="26" t="s">
        <v>70</v>
      </c>
      <c r="B38" s="26" t="s">
        <v>160</v>
      </c>
      <c r="C38" s="26">
        <v>3.0</v>
      </c>
    </row>
    <row r="39">
      <c r="A39" s="26" t="s">
        <v>29</v>
      </c>
      <c r="B39" s="26" t="s">
        <v>157</v>
      </c>
      <c r="C39" s="26">
        <v>6.0</v>
      </c>
    </row>
    <row r="40">
      <c r="A40" s="26" t="s">
        <v>29</v>
      </c>
      <c r="B40" s="26" t="s">
        <v>158</v>
      </c>
      <c r="C40" s="26">
        <v>6.0</v>
      </c>
    </row>
    <row r="41">
      <c r="A41" s="26" t="s">
        <v>87</v>
      </c>
      <c r="B41" s="26" t="s">
        <v>160</v>
      </c>
      <c r="C41" s="26">
        <v>4.0</v>
      </c>
    </row>
    <row r="42">
      <c r="A42" s="26" t="s">
        <v>39</v>
      </c>
      <c r="B42" s="26" t="s">
        <v>160</v>
      </c>
      <c r="C42" s="26">
        <v>2.0</v>
      </c>
    </row>
    <row r="43">
      <c r="A43" s="26" t="s">
        <v>11</v>
      </c>
      <c r="B43" s="26" t="s">
        <v>297</v>
      </c>
      <c r="C43" s="26">
        <v>4.0</v>
      </c>
    </row>
    <row r="44">
      <c r="A44" s="26" t="s">
        <v>145</v>
      </c>
      <c r="B44" s="26" t="s">
        <v>158</v>
      </c>
      <c r="C44" s="26">
        <v>5.0</v>
      </c>
    </row>
    <row r="45">
      <c r="A45" s="26" t="s">
        <v>40</v>
      </c>
      <c r="B45" s="26" t="s">
        <v>157</v>
      </c>
      <c r="C45" s="26">
        <v>4.0</v>
      </c>
    </row>
    <row r="46">
      <c r="A46" s="26" t="s">
        <v>41</v>
      </c>
      <c r="B46" s="26" t="s">
        <v>160</v>
      </c>
      <c r="C46" s="26">
        <v>4.0</v>
      </c>
    </row>
    <row r="47">
      <c r="A47" s="26" t="s">
        <v>12</v>
      </c>
      <c r="B47" s="26" t="s">
        <v>160</v>
      </c>
      <c r="C47" s="26">
        <v>5.0</v>
      </c>
    </row>
    <row r="48">
      <c r="A48" s="26" t="s">
        <v>146</v>
      </c>
      <c r="B48" s="26" t="s">
        <v>158</v>
      </c>
      <c r="C48" s="26">
        <v>5.0</v>
      </c>
    </row>
    <row r="49">
      <c r="A49" s="26" t="s">
        <v>13</v>
      </c>
      <c r="B49" s="26" t="s">
        <v>160</v>
      </c>
      <c r="C49" s="26">
        <v>3.0</v>
      </c>
    </row>
    <row r="50">
      <c r="A50" s="26" t="s">
        <v>127</v>
      </c>
      <c r="B50" s="26" t="s">
        <v>157</v>
      </c>
      <c r="C50" s="26">
        <v>7.0</v>
      </c>
    </row>
    <row r="51">
      <c r="A51" s="26" t="s">
        <v>127</v>
      </c>
      <c r="B51" s="26" t="s">
        <v>158</v>
      </c>
      <c r="C51" s="26">
        <v>7.0</v>
      </c>
    </row>
    <row r="52">
      <c r="A52" s="26" t="s">
        <v>127</v>
      </c>
      <c r="B52" s="26" t="s">
        <v>160</v>
      </c>
      <c r="C52" s="26">
        <v>7.0</v>
      </c>
    </row>
    <row r="53">
      <c r="A53" s="26" t="s">
        <v>14</v>
      </c>
      <c r="B53" s="26" t="s">
        <v>157</v>
      </c>
      <c r="C53" s="26">
        <v>5.0</v>
      </c>
    </row>
    <row r="54">
      <c r="A54" s="26" t="s">
        <v>14</v>
      </c>
      <c r="B54" s="26" t="s">
        <v>160</v>
      </c>
      <c r="C54" s="26">
        <v>5.0</v>
      </c>
    </row>
    <row r="55">
      <c r="A55" s="26" t="s">
        <v>42</v>
      </c>
      <c r="B55" s="26" t="s">
        <v>160</v>
      </c>
      <c r="C55" s="26">
        <v>4.0</v>
      </c>
    </row>
    <row r="56">
      <c r="A56" s="26" t="s">
        <v>59</v>
      </c>
      <c r="B56" s="26" t="s">
        <v>157</v>
      </c>
      <c r="C56" s="26">
        <v>7.0</v>
      </c>
    </row>
    <row r="57">
      <c r="A57" s="26" t="s">
        <v>59</v>
      </c>
      <c r="B57" s="26" t="s">
        <v>158</v>
      </c>
      <c r="C57" s="26">
        <v>7.0</v>
      </c>
    </row>
    <row r="58">
      <c r="A58" s="26" t="s">
        <v>59</v>
      </c>
      <c r="B58" s="26" t="s">
        <v>160</v>
      </c>
      <c r="C58" s="26">
        <v>7.0</v>
      </c>
    </row>
    <row r="59">
      <c r="A59" s="26" t="s">
        <v>60</v>
      </c>
      <c r="B59" s="26" t="s">
        <v>160</v>
      </c>
      <c r="C59" s="26">
        <v>10.0</v>
      </c>
    </row>
    <row r="60">
      <c r="A60" s="26" t="s">
        <v>43</v>
      </c>
      <c r="B60" s="26" t="s">
        <v>160</v>
      </c>
      <c r="C60" s="26">
        <v>2.0</v>
      </c>
    </row>
    <row r="61">
      <c r="A61" s="26" t="s">
        <v>80</v>
      </c>
      <c r="B61" s="26" t="s">
        <v>157</v>
      </c>
      <c r="C61" s="26">
        <v>3.0</v>
      </c>
    </row>
    <row r="62">
      <c r="A62" s="26" t="s">
        <v>80</v>
      </c>
      <c r="B62" s="26" t="s">
        <v>158</v>
      </c>
      <c r="C62" s="26">
        <v>3.0</v>
      </c>
    </row>
    <row r="63">
      <c r="A63" s="26" t="s">
        <v>91</v>
      </c>
      <c r="B63" s="26" t="s">
        <v>157</v>
      </c>
      <c r="C63" s="26">
        <v>6.0</v>
      </c>
    </row>
    <row r="64">
      <c r="A64" s="26" t="s">
        <v>30</v>
      </c>
      <c r="B64" s="26" t="s">
        <v>157</v>
      </c>
      <c r="C64" s="26">
        <v>6.0</v>
      </c>
    </row>
    <row r="65">
      <c r="A65" s="26" t="s">
        <v>30</v>
      </c>
      <c r="B65" s="26" t="s">
        <v>158</v>
      </c>
      <c r="C65" s="26">
        <v>6.0</v>
      </c>
    </row>
    <row r="66">
      <c r="A66" s="26" t="s">
        <v>71</v>
      </c>
      <c r="B66" s="26" t="s">
        <v>158</v>
      </c>
      <c r="C66" s="26">
        <v>3.0</v>
      </c>
    </row>
    <row r="67">
      <c r="A67" s="26" t="s">
        <v>71</v>
      </c>
      <c r="B67" s="26" t="s">
        <v>160</v>
      </c>
      <c r="C67" s="26">
        <v>3.0</v>
      </c>
    </row>
    <row r="68">
      <c r="A68" s="26" t="s">
        <v>81</v>
      </c>
      <c r="B68" s="26" t="s">
        <v>157</v>
      </c>
      <c r="C68" s="26">
        <v>3.0</v>
      </c>
    </row>
    <row r="69">
      <c r="A69" s="26" t="s">
        <v>128</v>
      </c>
      <c r="B69" s="26" t="s">
        <v>158</v>
      </c>
      <c r="C69" s="26">
        <v>8.0</v>
      </c>
    </row>
    <row r="70">
      <c r="A70" s="26" t="s">
        <v>129</v>
      </c>
      <c r="B70" s="26" t="s">
        <v>160</v>
      </c>
      <c r="C70" s="26">
        <v>10.0</v>
      </c>
    </row>
    <row r="71">
      <c r="A71" s="26" t="s">
        <v>109</v>
      </c>
      <c r="B71" s="26" t="s">
        <v>157</v>
      </c>
      <c r="C71" s="26">
        <v>8.0</v>
      </c>
    </row>
    <row r="72">
      <c r="A72" s="26" t="s">
        <v>15</v>
      </c>
      <c r="B72" s="26" t="s">
        <v>158</v>
      </c>
      <c r="C72" s="26">
        <v>3.0</v>
      </c>
    </row>
    <row r="73">
      <c r="A73" s="26" t="s">
        <v>15</v>
      </c>
      <c r="B73" s="26" t="s">
        <v>160</v>
      </c>
      <c r="C73" s="26">
        <v>3.0</v>
      </c>
    </row>
    <row r="74">
      <c r="A74" s="26" t="s">
        <v>16</v>
      </c>
      <c r="B74" s="26" t="s">
        <v>160</v>
      </c>
      <c r="C74" s="26">
        <v>4.0</v>
      </c>
    </row>
    <row r="75">
      <c r="A75" s="26" t="s">
        <v>17</v>
      </c>
      <c r="B75" s="26" t="s">
        <v>160</v>
      </c>
      <c r="C75" s="26">
        <v>5.0</v>
      </c>
    </row>
    <row r="76">
      <c r="A76" s="26" t="s">
        <v>61</v>
      </c>
      <c r="B76" s="26" t="s">
        <v>157</v>
      </c>
      <c r="C76" s="26">
        <v>10.0</v>
      </c>
    </row>
    <row r="77">
      <c r="A77" s="26" t="s">
        <v>61</v>
      </c>
      <c r="B77" s="26" t="s">
        <v>160</v>
      </c>
      <c r="C77" s="26">
        <v>10.0</v>
      </c>
    </row>
    <row r="78">
      <c r="A78" s="26" t="s">
        <v>82</v>
      </c>
      <c r="B78" s="26" t="s">
        <v>157</v>
      </c>
      <c r="C78" s="26">
        <v>3.0</v>
      </c>
    </row>
    <row r="79">
      <c r="A79" s="26" t="s">
        <v>18</v>
      </c>
      <c r="B79" s="26" t="s">
        <v>157</v>
      </c>
      <c r="C79" s="26">
        <v>5.0</v>
      </c>
    </row>
    <row r="80">
      <c r="A80" s="26" t="s">
        <v>18</v>
      </c>
      <c r="B80" s="26" t="s">
        <v>160</v>
      </c>
      <c r="C80" s="26">
        <v>5.0</v>
      </c>
    </row>
    <row r="81">
      <c r="A81" s="26" t="s">
        <v>93</v>
      </c>
      <c r="B81" s="26" t="s">
        <v>157</v>
      </c>
      <c r="C81" s="26">
        <v>3.0</v>
      </c>
    </row>
    <row r="82">
      <c r="A82" s="26" t="s">
        <v>19</v>
      </c>
      <c r="B82" s="26" t="s">
        <v>160</v>
      </c>
      <c r="C82" s="26">
        <v>5.0</v>
      </c>
    </row>
    <row r="83">
      <c r="A83" s="26" t="s">
        <v>72</v>
      </c>
      <c r="B83" s="26" t="s">
        <v>158</v>
      </c>
      <c r="C83" s="26">
        <v>3.0</v>
      </c>
    </row>
    <row r="84">
      <c r="A84" s="26" t="s">
        <v>20</v>
      </c>
      <c r="B84" s="26" t="s">
        <v>160</v>
      </c>
      <c r="C84" s="26">
        <v>3.0</v>
      </c>
    </row>
    <row r="85">
      <c r="A85" s="26" t="s">
        <v>130</v>
      </c>
      <c r="B85" s="26" t="s">
        <v>157</v>
      </c>
      <c r="C85" s="26">
        <v>5.0</v>
      </c>
    </row>
    <row r="86">
      <c r="A86" s="26" t="s">
        <v>130</v>
      </c>
      <c r="B86" s="26" t="s">
        <v>160</v>
      </c>
      <c r="C86" s="26">
        <v>5.0</v>
      </c>
    </row>
    <row r="87">
      <c r="A87" s="26" t="s">
        <v>131</v>
      </c>
      <c r="B87" s="26" t="s">
        <v>157</v>
      </c>
      <c r="C87" s="26">
        <v>6.0</v>
      </c>
    </row>
    <row r="88">
      <c r="A88" s="26" t="s">
        <v>131</v>
      </c>
      <c r="B88" s="26" t="s">
        <v>158</v>
      </c>
      <c r="C88" s="26">
        <v>6.0</v>
      </c>
    </row>
    <row r="89">
      <c r="A89" s="26" t="s">
        <v>131</v>
      </c>
      <c r="B89" s="26" t="s">
        <v>160</v>
      </c>
      <c r="C89" s="26">
        <v>6.0</v>
      </c>
    </row>
    <row r="90">
      <c r="A90" s="26" t="s">
        <v>21</v>
      </c>
      <c r="B90" s="26" t="s">
        <v>160</v>
      </c>
      <c r="C90" s="26">
        <v>3.0</v>
      </c>
    </row>
    <row r="91">
      <c r="A91" s="26" t="s">
        <v>132</v>
      </c>
      <c r="B91" s="26" t="s">
        <v>157</v>
      </c>
      <c r="C91" s="26">
        <v>10.0</v>
      </c>
    </row>
    <row r="92">
      <c r="A92" s="26" t="s">
        <v>132</v>
      </c>
      <c r="B92" s="26" t="s">
        <v>158</v>
      </c>
      <c r="C92" s="26">
        <v>10.0</v>
      </c>
    </row>
    <row r="93">
      <c r="A93" s="26" t="s">
        <v>132</v>
      </c>
      <c r="B93" s="26" t="s">
        <v>160</v>
      </c>
      <c r="C93" s="26">
        <v>10.0</v>
      </c>
    </row>
    <row r="94">
      <c r="A94" s="26" t="s">
        <v>133</v>
      </c>
      <c r="B94" s="26" t="s">
        <v>160</v>
      </c>
      <c r="C94" s="26">
        <v>10.0</v>
      </c>
    </row>
    <row r="95">
      <c r="A95" s="26" t="s">
        <v>62</v>
      </c>
      <c r="B95" s="26" t="s">
        <v>157</v>
      </c>
      <c r="C95" s="26">
        <v>10.0</v>
      </c>
    </row>
    <row r="96">
      <c r="A96" s="26" t="s">
        <v>62</v>
      </c>
      <c r="B96" s="26" t="s">
        <v>160</v>
      </c>
      <c r="C96" s="26">
        <v>10.0</v>
      </c>
    </row>
    <row r="97">
      <c r="A97" s="26" t="s">
        <v>110</v>
      </c>
      <c r="B97" s="26" t="s">
        <v>160</v>
      </c>
      <c r="C97" s="26">
        <v>8.0</v>
      </c>
    </row>
    <row r="98">
      <c r="A98" s="26" t="s">
        <v>118</v>
      </c>
      <c r="B98" s="26" t="s">
        <v>157</v>
      </c>
      <c r="C98" s="26">
        <v>10.0</v>
      </c>
    </row>
    <row r="99">
      <c r="A99" s="26" t="s">
        <v>118</v>
      </c>
      <c r="B99" s="26" t="s">
        <v>158</v>
      </c>
      <c r="C99" s="26">
        <v>10.0</v>
      </c>
    </row>
    <row r="100">
      <c r="A100" s="26" t="s">
        <v>111</v>
      </c>
      <c r="B100" s="26" t="s">
        <v>160</v>
      </c>
      <c r="C100" s="26">
        <v>8.0</v>
      </c>
    </row>
    <row r="101">
      <c r="A101" s="26" t="s">
        <v>134</v>
      </c>
      <c r="B101" s="26" t="s">
        <v>158</v>
      </c>
      <c r="C101" s="26">
        <v>7.0</v>
      </c>
    </row>
    <row r="102">
      <c r="A102" s="26" t="s">
        <v>134</v>
      </c>
      <c r="B102" s="26" t="s">
        <v>160</v>
      </c>
      <c r="C102" s="26">
        <v>7.0</v>
      </c>
    </row>
    <row r="103">
      <c r="A103" s="26" t="s">
        <v>44</v>
      </c>
      <c r="B103" s="26" t="s">
        <v>157</v>
      </c>
      <c r="C103" s="26">
        <v>4.0</v>
      </c>
    </row>
    <row r="104">
      <c r="A104" s="26" t="s">
        <v>44</v>
      </c>
      <c r="B104" s="26" t="s">
        <v>158</v>
      </c>
      <c r="C104" s="26">
        <v>4.0</v>
      </c>
    </row>
    <row r="105">
      <c r="A105" s="26" t="s">
        <v>44</v>
      </c>
      <c r="B105" s="26" t="s">
        <v>160</v>
      </c>
      <c r="C105" s="26">
        <v>4.0</v>
      </c>
    </row>
    <row r="106">
      <c r="A106" s="26" t="s">
        <v>94</v>
      </c>
      <c r="B106" s="26" t="s">
        <v>157</v>
      </c>
      <c r="C106" s="26">
        <v>3.0</v>
      </c>
    </row>
    <row r="107">
      <c r="A107" s="26" t="s">
        <v>73</v>
      </c>
      <c r="B107" s="26" t="s">
        <v>158</v>
      </c>
      <c r="C107" s="26">
        <v>3.0</v>
      </c>
    </row>
    <row r="108">
      <c r="A108" s="26" t="s">
        <v>135</v>
      </c>
      <c r="B108" s="26" t="s">
        <v>160</v>
      </c>
      <c r="C108" s="26">
        <v>10.0</v>
      </c>
    </row>
    <row r="109">
      <c r="A109" s="26" t="s">
        <v>74</v>
      </c>
      <c r="B109" s="26" t="s">
        <v>158</v>
      </c>
      <c r="C109" s="26">
        <v>3.0</v>
      </c>
    </row>
    <row r="110">
      <c r="A110" s="26" t="s">
        <v>74</v>
      </c>
      <c r="B110" s="26" t="s">
        <v>160</v>
      </c>
      <c r="C110" s="26">
        <v>3.0</v>
      </c>
    </row>
    <row r="111">
      <c r="A111" s="26" t="s">
        <v>119</v>
      </c>
      <c r="B111" s="26" t="s">
        <v>157</v>
      </c>
      <c r="C111" s="26">
        <v>7.0</v>
      </c>
    </row>
    <row r="112">
      <c r="A112" s="26" t="s">
        <v>119</v>
      </c>
      <c r="B112" s="26" t="s">
        <v>158</v>
      </c>
      <c r="C112" s="26">
        <v>7.0</v>
      </c>
    </row>
    <row r="113">
      <c r="A113" s="26" t="s">
        <v>119</v>
      </c>
      <c r="B113" s="26" t="s">
        <v>160</v>
      </c>
      <c r="C113" s="26">
        <v>7.0</v>
      </c>
    </row>
    <row r="114">
      <c r="A114" s="26" t="s">
        <v>75</v>
      </c>
      <c r="B114" s="26" t="s">
        <v>158</v>
      </c>
      <c r="C114" s="26">
        <v>3.0</v>
      </c>
    </row>
    <row r="115">
      <c r="A115" s="26" t="s">
        <v>75</v>
      </c>
      <c r="B115" s="26" t="s">
        <v>160</v>
      </c>
      <c r="C115" s="26">
        <v>3.0</v>
      </c>
    </row>
    <row r="116">
      <c r="A116" s="26" t="s">
        <v>95</v>
      </c>
      <c r="B116" s="26" t="s">
        <v>157</v>
      </c>
      <c r="C116" s="26">
        <v>6.0</v>
      </c>
    </row>
    <row r="117">
      <c r="A117" s="26" t="s">
        <v>22</v>
      </c>
      <c r="B117" s="26" t="s">
        <v>160</v>
      </c>
      <c r="C117" s="26">
        <v>3.0</v>
      </c>
    </row>
    <row r="118">
      <c r="A118" s="26" t="s">
        <v>76</v>
      </c>
      <c r="B118" s="26" t="s">
        <v>158</v>
      </c>
      <c r="C118" s="26">
        <v>3.0</v>
      </c>
    </row>
    <row r="119">
      <c r="A119" s="26" t="s">
        <v>76</v>
      </c>
      <c r="B119" s="26" t="s">
        <v>160</v>
      </c>
      <c r="C119" s="26">
        <v>3.0</v>
      </c>
    </row>
    <row r="120">
      <c r="A120" s="26" t="s">
        <v>136</v>
      </c>
      <c r="B120" s="26" t="s">
        <v>157</v>
      </c>
      <c r="C120" s="26">
        <v>10.0</v>
      </c>
    </row>
    <row r="121">
      <c r="A121" s="26" t="s">
        <v>136</v>
      </c>
      <c r="B121" s="26" t="s">
        <v>160</v>
      </c>
      <c r="C121" s="26">
        <v>10.0</v>
      </c>
    </row>
    <row r="122">
      <c r="A122" s="26" t="s">
        <v>113</v>
      </c>
      <c r="B122" s="35" t="s">
        <v>297</v>
      </c>
      <c r="C122" s="26">
        <v>1.0</v>
      </c>
    </row>
    <row r="123">
      <c r="A123" s="26" t="s">
        <v>63</v>
      </c>
      <c r="B123" s="26" t="s">
        <v>157</v>
      </c>
      <c r="C123" s="26">
        <v>5.0</v>
      </c>
    </row>
    <row r="124">
      <c r="A124" s="26" t="s">
        <v>63</v>
      </c>
      <c r="B124" s="26" t="s">
        <v>160</v>
      </c>
      <c r="C124" s="26">
        <v>5.0</v>
      </c>
    </row>
    <row r="125">
      <c r="A125" s="26" t="s">
        <v>31</v>
      </c>
      <c r="B125" s="35" t="s">
        <v>297</v>
      </c>
      <c r="C125" s="26">
        <v>3.0</v>
      </c>
    </row>
    <row r="126">
      <c r="A126" s="26" t="s">
        <v>32</v>
      </c>
      <c r="B126" s="26" t="s">
        <v>157</v>
      </c>
      <c r="C126" s="26">
        <v>6.0</v>
      </c>
    </row>
    <row r="127">
      <c r="A127" s="26" t="s">
        <v>32</v>
      </c>
      <c r="B127" s="26" t="s">
        <v>158</v>
      </c>
      <c r="C127" s="26">
        <v>6.0</v>
      </c>
    </row>
    <row r="128">
      <c r="A128" s="26" t="s">
        <v>120</v>
      </c>
      <c r="B128" s="26" t="s">
        <v>158</v>
      </c>
      <c r="C128" s="26">
        <v>10.0</v>
      </c>
    </row>
    <row r="129">
      <c r="A129" s="26" t="s">
        <v>121</v>
      </c>
      <c r="B129" s="26" t="s">
        <v>158</v>
      </c>
      <c r="C129" s="26">
        <v>10.0</v>
      </c>
    </row>
    <row r="130">
      <c r="A130" s="26" t="s">
        <v>121</v>
      </c>
      <c r="B130" s="26" t="s">
        <v>157</v>
      </c>
      <c r="C130" s="26">
        <v>10.0</v>
      </c>
    </row>
    <row r="131">
      <c r="A131" s="26" t="s">
        <v>137</v>
      </c>
      <c r="B131" s="26" t="s">
        <v>157</v>
      </c>
      <c r="C131" s="26">
        <v>8.0</v>
      </c>
    </row>
    <row r="132">
      <c r="A132" s="26" t="s">
        <v>137</v>
      </c>
      <c r="B132" s="26" t="s">
        <v>158</v>
      </c>
      <c r="C132" s="26">
        <v>8.0</v>
      </c>
    </row>
    <row r="133">
      <c r="A133" s="26" t="s">
        <v>137</v>
      </c>
      <c r="B133" s="26" t="s">
        <v>160</v>
      </c>
      <c r="C133" s="26">
        <v>8.0</v>
      </c>
    </row>
    <row r="134">
      <c r="A134" s="26" t="s">
        <v>138</v>
      </c>
      <c r="B134" s="26" t="s">
        <v>158</v>
      </c>
      <c r="C134" s="26">
        <v>10.0</v>
      </c>
    </row>
    <row r="135">
      <c r="A135" s="26" t="s">
        <v>138</v>
      </c>
      <c r="B135" s="26" t="s">
        <v>160</v>
      </c>
      <c r="C135" s="26">
        <v>10.0</v>
      </c>
    </row>
    <row r="136">
      <c r="A136" s="26" t="s">
        <v>96</v>
      </c>
      <c r="B136" s="26" t="s">
        <v>157</v>
      </c>
      <c r="C136" s="26">
        <v>3.0</v>
      </c>
    </row>
    <row r="137">
      <c r="A137" s="26" t="s">
        <v>83</v>
      </c>
      <c r="B137" s="26" t="s">
        <v>157</v>
      </c>
      <c r="C137" s="26">
        <v>4.0</v>
      </c>
    </row>
    <row r="138">
      <c r="A138" s="26" t="s">
        <v>83</v>
      </c>
      <c r="B138" s="26" t="s">
        <v>158</v>
      </c>
      <c r="C138" s="26">
        <v>4.0</v>
      </c>
    </row>
    <row r="139">
      <c r="A139" s="26" t="s">
        <v>147</v>
      </c>
      <c r="B139" s="26" t="s">
        <v>158</v>
      </c>
      <c r="C139" s="26">
        <v>5.0</v>
      </c>
    </row>
    <row r="140">
      <c r="A140" s="26" t="s">
        <v>97</v>
      </c>
      <c r="B140" s="26" t="s">
        <v>157</v>
      </c>
      <c r="C140" s="26">
        <v>3.0</v>
      </c>
    </row>
    <row r="141">
      <c r="A141" s="26" t="s">
        <v>112</v>
      </c>
      <c r="B141" s="26" t="s">
        <v>160</v>
      </c>
      <c r="C141" s="26">
        <v>6.0</v>
      </c>
    </row>
    <row r="142">
      <c r="A142" s="26" t="s">
        <v>77</v>
      </c>
      <c r="B142" s="26" t="s">
        <v>158</v>
      </c>
      <c r="C142" s="26">
        <v>3.0</v>
      </c>
    </row>
    <row r="143">
      <c r="A143" s="26" t="s">
        <v>77</v>
      </c>
      <c r="B143" s="26" t="s">
        <v>160</v>
      </c>
      <c r="C143" s="26">
        <v>3.0</v>
      </c>
    </row>
    <row r="144">
      <c r="A144" s="26" t="s">
        <v>139</v>
      </c>
      <c r="B144" s="26" t="s">
        <v>157</v>
      </c>
      <c r="C144" s="26">
        <v>7.0</v>
      </c>
    </row>
    <row r="145">
      <c r="A145" s="26" t="s">
        <v>139</v>
      </c>
      <c r="B145" s="26" t="s">
        <v>160</v>
      </c>
      <c r="C145" s="26">
        <v>7.0</v>
      </c>
    </row>
    <row r="146">
      <c r="A146" s="26" t="s">
        <v>64</v>
      </c>
      <c r="B146" s="26" t="s">
        <v>158</v>
      </c>
      <c r="C146" s="26">
        <v>5.0</v>
      </c>
    </row>
    <row r="147">
      <c r="A147" s="26" t="s">
        <v>64</v>
      </c>
      <c r="B147" s="26" t="s">
        <v>160</v>
      </c>
      <c r="C147" s="26">
        <v>5.0</v>
      </c>
    </row>
    <row r="148">
      <c r="A148" s="26" t="s">
        <v>65</v>
      </c>
      <c r="B148" s="26" t="s">
        <v>157</v>
      </c>
      <c r="C148" s="26">
        <v>10.0</v>
      </c>
    </row>
    <row r="149">
      <c r="A149" s="26" t="s">
        <v>65</v>
      </c>
      <c r="B149" s="26" t="s">
        <v>160</v>
      </c>
      <c r="C149" s="26">
        <v>10.0</v>
      </c>
    </row>
    <row r="150">
      <c r="A150" s="26" t="s">
        <v>66</v>
      </c>
      <c r="B150" s="26" t="s">
        <v>157</v>
      </c>
      <c r="C150" s="26">
        <v>7.0</v>
      </c>
    </row>
    <row r="151">
      <c r="A151" s="26" t="s">
        <v>66</v>
      </c>
      <c r="B151" s="26" t="s">
        <v>158</v>
      </c>
      <c r="C151" s="26">
        <v>7.0</v>
      </c>
    </row>
    <row r="152">
      <c r="A152" s="26" t="s">
        <v>66</v>
      </c>
      <c r="B152" s="26" t="s">
        <v>160</v>
      </c>
      <c r="C152" s="26">
        <v>7.0</v>
      </c>
    </row>
    <row r="153">
      <c r="A153" s="26" t="s">
        <v>23</v>
      </c>
      <c r="B153" s="26" t="s">
        <v>157</v>
      </c>
      <c r="C153" s="26">
        <v>3.0</v>
      </c>
    </row>
    <row r="154">
      <c r="A154" s="26" t="s">
        <v>23</v>
      </c>
      <c r="B154" s="26" t="s">
        <v>160</v>
      </c>
      <c r="C154" s="26">
        <v>3.0</v>
      </c>
    </row>
    <row r="155">
      <c r="A155" s="26" t="s">
        <v>45</v>
      </c>
      <c r="B155" s="26" t="s">
        <v>157</v>
      </c>
      <c r="C155" s="26">
        <v>4.0</v>
      </c>
    </row>
    <row r="156">
      <c r="A156" s="26" t="s">
        <v>140</v>
      </c>
      <c r="B156" s="26" t="s">
        <v>157</v>
      </c>
      <c r="C156" s="26">
        <v>8.0</v>
      </c>
    </row>
    <row r="157">
      <c r="A157" s="26" t="s">
        <v>140</v>
      </c>
      <c r="B157" s="26" t="s">
        <v>158</v>
      </c>
      <c r="C157" s="26">
        <v>8.0</v>
      </c>
    </row>
    <row r="158">
      <c r="A158" s="26" t="s">
        <v>140</v>
      </c>
      <c r="B158" s="26" t="s">
        <v>160</v>
      </c>
      <c r="C158" s="26">
        <v>8.0</v>
      </c>
    </row>
    <row r="159">
      <c r="A159" s="26" t="s">
        <v>46</v>
      </c>
      <c r="B159" s="26" t="s">
        <v>157</v>
      </c>
      <c r="C159" s="26">
        <v>4.0</v>
      </c>
    </row>
    <row r="160">
      <c r="A160" s="26" t="s">
        <v>47</v>
      </c>
      <c r="B160" s="26" t="s">
        <v>297</v>
      </c>
      <c r="C160" s="26">
        <v>4.0</v>
      </c>
    </row>
    <row r="161">
      <c r="A161" s="26" t="s">
        <v>141</v>
      </c>
      <c r="B161" s="26" t="s">
        <v>157</v>
      </c>
      <c r="C161" s="26">
        <v>7.0</v>
      </c>
    </row>
    <row r="162">
      <c r="A162" s="26" t="s">
        <v>141</v>
      </c>
      <c r="B162" s="26" t="s">
        <v>158</v>
      </c>
      <c r="C162" s="26">
        <v>7.0</v>
      </c>
    </row>
    <row r="163">
      <c r="A163" s="26" t="s">
        <v>141</v>
      </c>
      <c r="B163" s="26" t="s">
        <v>160</v>
      </c>
      <c r="C163" s="26">
        <v>7.0</v>
      </c>
    </row>
    <row r="164">
      <c r="A164" s="26" t="s">
        <v>48</v>
      </c>
      <c r="B164" s="26" t="s">
        <v>158</v>
      </c>
      <c r="C164" s="26">
        <v>4.0</v>
      </c>
    </row>
    <row r="165">
      <c r="A165" s="26" t="s">
        <v>49</v>
      </c>
      <c r="B165" s="26" t="s">
        <v>158</v>
      </c>
      <c r="C165" s="26">
        <v>4.0</v>
      </c>
    </row>
    <row r="166">
      <c r="A166" s="26" t="s">
        <v>49</v>
      </c>
      <c r="B166" s="26" t="s">
        <v>160</v>
      </c>
      <c r="C166" s="26">
        <v>4.0</v>
      </c>
    </row>
    <row r="167">
      <c r="A167" s="26" t="s">
        <v>24</v>
      </c>
      <c r="B167" s="26" t="s">
        <v>160</v>
      </c>
      <c r="C167" s="26">
        <v>3.0</v>
      </c>
    </row>
    <row r="168">
      <c r="A168" s="26" t="s">
        <v>142</v>
      </c>
      <c r="B168" s="26" t="s">
        <v>157</v>
      </c>
      <c r="C168" s="26">
        <v>10.0</v>
      </c>
    </row>
    <row r="169">
      <c r="A169" s="26" t="s">
        <v>85</v>
      </c>
      <c r="B169" s="26" t="s">
        <v>158</v>
      </c>
      <c r="C169" s="26">
        <v>4.0</v>
      </c>
    </row>
    <row r="170">
      <c r="A170" s="26" t="s">
        <v>50</v>
      </c>
      <c r="B170" s="26" t="s">
        <v>157</v>
      </c>
      <c r="C170" s="26">
        <v>5.0</v>
      </c>
    </row>
    <row r="171">
      <c r="A171" s="26" t="s">
        <v>50</v>
      </c>
      <c r="B171" s="26" t="s">
        <v>158</v>
      </c>
      <c r="C171" s="26">
        <v>5.0</v>
      </c>
    </row>
    <row r="172">
      <c r="A172" s="26" t="s">
        <v>67</v>
      </c>
      <c r="B172" s="26" t="s">
        <v>158</v>
      </c>
      <c r="C172" s="26">
        <v>10.0</v>
      </c>
    </row>
    <row r="173">
      <c r="A173" s="26" t="s">
        <v>67</v>
      </c>
      <c r="B173" s="26" t="s">
        <v>160</v>
      </c>
      <c r="C173" s="26">
        <v>10.0</v>
      </c>
    </row>
    <row r="174">
      <c r="A174" s="26" t="s">
        <v>98</v>
      </c>
      <c r="B174" s="26" t="s">
        <v>157</v>
      </c>
      <c r="C174" s="26">
        <v>3.0</v>
      </c>
    </row>
    <row r="175">
      <c r="A175" s="26" t="s">
        <v>51</v>
      </c>
      <c r="B175" s="26" t="s">
        <v>160</v>
      </c>
      <c r="C175" s="26">
        <v>4.0</v>
      </c>
    </row>
    <row r="176">
      <c r="A176" s="26" t="s">
        <v>52</v>
      </c>
      <c r="B176" s="26" t="s">
        <v>160</v>
      </c>
      <c r="C176" s="26">
        <v>1.0</v>
      </c>
    </row>
    <row r="177">
      <c r="A177" s="26" t="s">
        <v>53</v>
      </c>
      <c r="B177" s="26" t="s">
        <v>160</v>
      </c>
      <c r="C177" s="26">
        <v>4.0</v>
      </c>
    </row>
    <row r="178">
      <c r="A178" s="26" t="s">
        <v>122</v>
      </c>
      <c r="B178" s="26" t="s">
        <v>157</v>
      </c>
      <c r="C178" s="26">
        <v>10.0</v>
      </c>
    </row>
    <row r="179">
      <c r="A179" s="26" t="s">
        <v>122</v>
      </c>
      <c r="B179" s="26" t="s">
        <v>158</v>
      </c>
      <c r="C179" s="26">
        <v>10.0</v>
      </c>
    </row>
    <row r="180">
      <c r="A180" s="26" t="s">
        <v>54</v>
      </c>
      <c r="B180" s="26" t="s">
        <v>157</v>
      </c>
      <c r="C180" s="26">
        <v>2.0</v>
      </c>
    </row>
    <row r="181">
      <c r="A181" s="26" t="s">
        <v>99</v>
      </c>
      <c r="B181" s="26" t="s">
        <v>157</v>
      </c>
      <c r="C181" s="26">
        <v>6.0</v>
      </c>
    </row>
    <row r="182">
      <c r="A182" s="26" t="s">
        <v>55</v>
      </c>
      <c r="B182" s="26" t="s">
        <v>158</v>
      </c>
      <c r="C182" s="26">
        <v>5.0</v>
      </c>
    </row>
    <row r="183">
      <c r="A183" s="26" t="s">
        <v>55</v>
      </c>
      <c r="B183" s="26" t="s">
        <v>160</v>
      </c>
      <c r="C183" s="26">
        <v>5.0</v>
      </c>
    </row>
    <row r="184">
      <c r="A184" s="26" t="s">
        <v>143</v>
      </c>
      <c r="B184" s="26" t="s">
        <v>160</v>
      </c>
      <c r="C184" s="26">
        <v>10.0</v>
      </c>
    </row>
    <row r="185">
      <c r="A185" s="26" t="s">
        <v>100</v>
      </c>
      <c r="B185" s="26" t="s">
        <v>157</v>
      </c>
      <c r="C185" s="26">
        <v>6.0</v>
      </c>
    </row>
    <row r="186">
      <c r="A186" s="26" t="s">
        <v>101</v>
      </c>
      <c r="B186" s="26" t="s">
        <v>157</v>
      </c>
      <c r="C186" s="26">
        <v>3.0</v>
      </c>
    </row>
    <row r="187">
      <c r="A187" s="26" t="s">
        <v>78</v>
      </c>
      <c r="B187" s="26" t="s">
        <v>158</v>
      </c>
      <c r="C187" s="26">
        <v>3.0</v>
      </c>
    </row>
    <row r="188">
      <c r="A188" s="26" t="s">
        <v>102</v>
      </c>
      <c r="B188" s="26" t="s">
        <v>157</v>
      </c>
      <c r="C188" s="26">
        <v>6.0</v>
      </c>
    </row>
    <row r="189">
      <c r="A189" s="26" t="s">
        <v>579</v>
      </c>
    </row>
    <row r="190">
      <c r="A190" s="26" t="s">
        <v>580</v>
      </c>
    </row>
  </sheetData>
  <drawing r:id="rId1"/>
</worksheet>
</file>